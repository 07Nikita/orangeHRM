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xr:revisionPtr revIDLastSave="1" documentId="11_7B754B2E14DE8481471CA5AB655A67AD94F1E9E6" xr6:coauthVersionLast="47" xr6:coauthVersionMax="47" xr10:uidLastSave="{8155EFC7-3CB8-4D54-A4EB-2C514CD3A8F5}"/>
  <bookViews>
    <workbookView xWindow="0" yWindow="0" windowWidth="0" windowHeight="0" xr2:uid="{00000000-000D-0000-FFFF-FFFF00000000}"/>
  </bookViews>
  <sheets>
    <sheet name="User story" sheetId="1" r:id="rId1"/>
    <sheet name="Test Scenarios" sheetId="2" r:id="rId2"/>
    <sheet name="Test cases" sheetId="3" r:id="rId3"/>
    <sheet name="Defect Report" sheetId="4" r:id="rId4"/>
    <sheet name="RTM" sheetId="5" r:id="rId5"/>
    <sheet name="Summary" sheetId="6" r:id="rId6"/>
  </sheets>
  <definedNames>
    <definedName name="_xlnm._FilterDatabase" localSheetId="1" hidden="1">'Test Scenarios'!$A$1:$F$9</definedName>
    <definedName name="_xlnm._FilterDatabase" localSheetId="2" hidden="1">'Test cases'!$A$1:$M$16</definedName>
    <definedName name="_xlnm._FilterDatabase" localSheetId="4" hidden="1">RTM!$A$1:$F$16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6" l="1"/>
  <c r="E3" i="6"/>
  <c r="D3" i="6"/>
  <c r="I3" i="6" l="1"/>
  <c r="H3" i="6"/>
  <c r="G3" i="6"/>
</calcChain>
</file>

<file path=xl/sharedStrings.xml><?xml version="1.0" encoding="utf-8"?>
<sst xmlns="http://schemas.openxmlformats.org/spreadsheetml/2006/main" count="367" uniqueCount="188">
  <si>
    <t>Issue Type</t>
  </si>
  <si>
    <t>Summary</t>
  </si>
  <si>
    <t>Priority</t>
  </si>
  <si>
    <t>Epic</t>
  </si>
  <si>
    <t>EP-01: Home Loan EMI Calculation — Calculate EMI and view repayment details.</t>
  </si>
  <si>
    <t>High</t>
  </si>
  <si>
    <t>Story</t>
  </si>
  <si>
    <t>US-01: EMI estimation — As a user, I want to calculate my monthly home loan EMI using loan amount, interest rate and tenure.</t>
  </si>
  <si>
    <t>US-02: Compare repayment options — As a user, I want to change loan amount and tenure to compare EMI values.</t>
  </si>
  <si>
    <t>EP-02: Eligibility Assessment — Estimate home loan eligibility based on financial details.</t>
  </si>
  <si>
    <t>US-03: Eligibility check — As a user, I want to estimate my eligibility based on income and existing EMIs.</t>
  </si>
  <si>
    <t>US-04: Additional income input — As a user, I want to include additional income such as co-applicant, investment or rental income.</t>
  </si>
  <si>
    <t>EP-03: Loan Offer Comparison — View and compare home loan offers from different banks.</t>
  </si>
  <si>
    <t>US-05: Bank comparison — As a user, I want to compare banks and their home loan offers.</t>
  </si>
  <si>
    <t>Medium</t>
  </si>
  <si>
    <t>US-06: Explore offers — As a user, I want to open an offer and explore the available loan options.</t>
  </si>
  <si>
    <t>EP-04: Calculator Navigation — Navigate between available home loan calculators.</t>
  </si>
  <si>
    <t>US-08a: Calculator navigation — As a user, I want to move between EMI, eligibility, balance transfer and prepayment calculators.</t>
  </si>
  <si>
    <t>EP-05: Lead Generation and Callback — Access callback and offer-related actions.</t>
  </si>
  <si>
    <t>US-07: Callback / enquiry — As a user, I want to request a callback or explore offers.</t>
  </si>
  <si>
    <t>US-08: Trust and clarity — As a user, I want to see clear disclaimer and explanatory information about calculator results.</t>
  </si>
  <si>
    <t>TestScenarioID</t>
  </si>
  <si>
    <t>Requirement ID</t>
  </si>
  <si>
    <t>Test Scenario Description</t>
  </si>
  <si>
    <t>Type of Testing</t>
  </si>
  <si>
    <t>Possible No. of TestCases</t>
  </si>
  <si>
    <t>Test Case Details</t>
  </si>
  <si>
    <t>TS-01</t>
  </si>
  <si>
    <t>RQ-01; RQ-02</t>
  </si>
  <si>
    <t>Verify EMI calculation with valid inputs, input changes and available tenure options.</t>
  </si>
  <si>
    <t>Functional Testing</t>
  </si>
  <si>
    <t>Verify EMI calculation for different loan amounts, tenure values and interest rates. Verify EMI changes when inputs are changed and verify the tenure dropdown options.</t>
  </si>
  <si>
    <t>TS-02</t>
  </si>
  <si>
    <t>RQ-01</t>
  </si>
  <si>
    <t>Verify EMI calculator options such as bank selection and property finalization.</t>
  </si>
  <si>
    <t>Verify switching between available banks and selecting Yes/No for property finalization. Verify the calculator remains usable after selection.</t>
  </si>
  <si>
    <t>TS-03</t>
  </si>
  <si>
    <t>RQ-03</t>
  </si>
  <si>
    <t>Verify home loan eligibility calculation with borrower income and existing EMI details.</t>
  </si>
  <si>
    <t>Verify eligibility calculation with valid income, ongoing EMI, tenure and interest rate. Verify behavior when existing EMI is high.</t>
  </si>
  <si>
    <t>TS-04</t>
  </si>
  <si>
    <t>Verify additional income options in the eligibility calculator.</t>
  </si>
  <si>
    <t>Verify Co-applicant Income, Investment Income and Rental Income options and related amount entry.</t>
  </si>
  <si>
    <t>TS-05</t>
  </si>
  <si>
    <t>RQ-05; RQ-06</t>
  </si>
  <si>
    <t>Verify bank offers, offer details and offer/callback navigation.</t>
  </si>
  <si>
    <t>Functional / Navigation Testing</t>
  </si>
  <si>
    <t>Verify multiple bank offers and their displayed details. Verify View, Explore Offers, Check Bank Offers or Get Callback navigation without completing login/OTP.</t>
  </si>
  <si>
    <t>TS-06</t>
  </si>
  <si>
    <t>RQ-04</t>
  </si>
  <si>
    <t>Verify navigation and functionality of Balance Transfer and Prepayment calculators.</t>
  </si>
  <si>
    <t>Verify Balance Transfer inputs and Compare result. Verify Prepayment inputs, Foreclosure/One time Payment options and Calculate result.</t>
  </si>
  <si>
    <t>TS-07</t>
  </si>
  <si>
    <t>RQ-07</t>
  </si>
  <si>
    <t>Verify disclaimer and informational content on the Home Loan calculator pages.</t>
  </si>
  <si>
    <t>UI / Content Testing</t>
  </si>
  <si>
    <t>Verify that the disclaimer and supporting information clearly explain that calculator results are indicative.</t>
  </si>
  <si>
    <t>TS-08</t>
  </si>
  <si>
    <t>RQ-08</t>
  </si>
  <si>
    <t>Verify Home Loan calculator usability on different screen sizes.</t>
  </si>
  <si>
    <t>UI / Responsive Testing</t>
  </si>
  <si>
    <t>Verify calculator fields, dropdowns, results, bank offers and buttons are usable on desktop and mobile screen sizes.</t>
  </si>
  <si>
    <t>Test Case ID</t>
  </si>
  <si>
    <t>Test Scenario</t>
  </si>
  <si>
    <t>Precondition</t>
  </si>
  <si>
    <t>Test Condition</t>
  </si>
  <si>
    <t>Test Case Steps</t>
  </si>
  <si>
    <t>Test Data</t>
  </si>
  <si>
    <t>Expected Result</t>
  </si>
  <si>
    <t>Actual Result Iteration 1</t>
  </si>
  <si>
    <t>Status Iteration 1</t>
  </si>
  <si>
    <t>Actual Result Iteration 2</t>
  </si>
  <si>
    <t>Status Iteration 2</t>
  </si>
  <si>
    <t>Comments</t>
  </si>
  <si>
    <t>Req Reference</t>
  </si>
  <si>
    <t>TC-01</t>
  </si>
  <si>
    <t>Home Loan page is open and EMI calculator is visible.</t>
  </si>
  <si>
    <t>Calculate EMI using valid HDFC inputs.</t>
  </si>
  <si>
    <t>1. Open Home Loan EMI Calculator.
2. Select HDFC Bank.
3. Enter loan amount.
4. Select tenure.
5. Enter interest rate.
6. Click Recalculate Your EMI.</t>
  </si>
  <si>
    <t>HDFC; ₹50,00,000; 20 years; 8.50%</t>
  </si>
  <si>
    <t>EMI, principal amount and interest amount should be calculated and displayed correctly.</t>
  </si>
  <si>
    <t>Not Executed</t>
  </si>
  <si>
    <t>TC-02</t>
  </si>
  <si>
    <t>EMI calculator is visible.</t>
  </si>
  <si>
    <t>Verify EMI changes when loan amount/tenure is changed.</t>
  </si>
  <si>
    <t>1. Enter valid EMI inputs and calculate.
2. Note EMI.
3. Change loan amount.
4. Calculate again.
5. Change tenure.
6. Calculate again.</t>
  </si>
  <si>
    <t>₹50,00,000 → ₹60,00,000; 20 → 25 years; 8.50%</t>
  </si>
  <si>
    <t>EMI should update according to the changed inputs and should not retain the old result.</t>
  </si>
  <si>
    <t>TC-03</t>
  </si>
  <si>
    <t>Verify Loan Tenure dropdown values.</t>
  </si>
  <si>
    <t>1. Open Loan Tenure dropdown.
2. Check the available options.
3. Select 5 years.
4. Calculate.
5. Repeat with 30 years.</t>
  </si>
  <si>
    <t>5, 10, 15, 20, 25, 30 years</t>
  </si>
  <si>
    <t>The available tenure options should be displayed and selectable. Calculation should work for selected values.</t>
  </si>
  <si>
    <t>TC-04</t>
  </si>
  <si>
    <t>Verify switching between banks.</t>
  </si>
  <si>
    <t>1. Select HDFC Bank.
2. Note bank context/rate.
3. Switch to SBI.
4. Switch to ICICI.
5. Recalculate after each selection.</t>
  </si>
  <si>
    <t>HDFC; SBI; ICICI</t>
  </si>
  <si>
    <t>The selected bank should be reflected correctly and the calculator should remain functional.</t>
  </si>
  <si>
    <t>TC-05</t>
  </si>
  <si>
    <t>Verify property finalization Yes/No.</t>
  </si>
  <si>
    <t>1. Select Yes for property finalization.
2. Verify selection.
3. Select No.
4. Verify selection.
5. Continue using the calculator.</t>
  </si>
  <si>
    <t>Yes / No</t>
  </si>
  <si>
    <t>The selected option should change correctly and should not break the calculator.</t>
  </si>
  <si>
    <t>TC-06</t>
  </si>
  <si>
    <t>Eligibility Calculator is accessible.</t>
  </si>
  <si>
    <t>Calculate eligibility with valid borrower details.</t>
  </si>
  <si>
    <t>1. Open Eligibility Calculator.
2. Enter monthly income.
3. Enter ongoing EMI.
4. Select tenure.
5. Enter interest rate.
6. Complete visible required details.
7. Calculate.</t>
  </si>
  <si>
    <t>Income ₹1,00,000; EMI ₹10,000; 20 years; 7.0%</t>
  </si>
  <si>
    <t>Eligible loan amount and estimated monthly EMI should be displayed.</t>
  </si>
  <si>
    <t>TC-07</t>
  </si>
  <si>
    <t>Verify high existing EMI case.</t>
  </si>
  <si>
    <t>1. Enter valid monthly income.
2. Enter a high ongoing EMI.
3. Keep other details valid.
4. Calculate.</t>
  </si>
  <si>
    <t>Income ₹1,00,000; ongoing EMI ₹90,000</t>
  </si>
  <si>
    <t>Eligibility should reduce, show suitable validation/warning, or otherwise handle low repayment capacity without crashing.</t>
  </si>
  <si>
    <t>TC-08</t>
  </si>
  <si>
    <t>Verify additional income options.</t>
  </si>
  <si>
    <t>1. Open Additional Income.
2. Select Co-applicant Income.
3. Enter amount.
4. Repeat for Investment Income.
5. Repeat for Rental Income.
6. Recalculate.</t>
  </si>
  <si>
    <t>Co-applicant ₹20,000; Investment ₹10,000; Rental ₹15,000</t>
  </si>
  <si>
    <t>The options should be available and the related amount should be accepted. Calculation should update accordingly.</t>
  </si>
  <si>
    <t>TC-09</t>
  </si>
  <si>
    <t>Home Loan page is open.</t>
  </si>
  <si>
    <t>Verify multiple bank offers are displayed.</t>
  </si>
  <si>
    <t>1. Scroll to bank offers.
2. Check available banks.
3. Verify the information shown for each offer.</t>
  </si>
  <si>
    <t>HDFC; SBI; ICICI; LIC Housing Finance; Axis; Canara</t>
  </si>
  <si>
    <t>Available bank offers should display the bank name and relevant offer/loan information.</t>
  </si>
  <si>
    <t>RQ-05</t>
  </si>
  <si>
    <t>TC-10</t>
  </si>
  <si>
    <t>Bank offer section is visible.</t>
  </si>
  <si>
    <t>Verify offer View/Explore/Check Bank Offers navigation.</t>
  </si>
  <si>
    <t>1. Select View/Explore Offers/Check Bank Offers where available.
2. Verify the destination or next section.
3. Do not submit OTP/login.</t>
  </si>
  <si>
    <t>Available offer CTA</t>
  </si>
  <si>
    <t>The CTA should open the intended offer/comparison/enquiry flow without a broken page.</t>
  </si>
  <si>
    <t>Login/OTP submission intentionally excluded.</t>
  </si>
  <si>
    <t>TC-11</t>
  </si>
  <si>
    <t>Home Loan Balance Transfer calculator is accessible.</t>
  </si>
  <si>
    <t>Verify Balance Transfer calculation.</t>
  </si>
  <si>
    <t>1. Open Balance Transfer.
2. Enter current loan details.
3. Enter new loan details.
4. Click Compare.
5. Verify the comparison result.</t>
  </si>
  <si>
    <t>Current: ₹40,00,000; 10 years; 8.5%; 40 installments. New: 10 years; 7.5%; processing fee 0.5%</t>
  </si>
  <si>
    <t>Current and new loan comparison details should be displayed, including applicable EMI/interest/tenure information.</t>
  </si>
  <si>
    <t>TC-12</t>
  </si>
  <si>
    <t>Home Loan Prepayment calculator is accessible.</t>
  </si>
  <si>
    <t>Verify Prepayment calculation with Foreclosure and One time Payment.</t>
  </si>
  <si>
    <t>1. Open Prepayment Calculator.
2. Enter loan amount, installments paid, outstanding tenure and interest rate.
3. Select Foreclosure and calculate.
4. Select One time Payment.
5. Enter amount and calculate.</t>
  </si>
  <si>
    <t>₹50,00,000; 40 installments; 15 years; 8.5%; one-time payment ₹1,00,000</t>
  </si>
  <si>
    <t>The selected payment option should work and the result should show applicable interest saved, tenure and payable details.</t>
  </si>
  <si>
    <t>TC-13</t>
  </si>
  <si>
    <t>Home Loan calculator page is accessible.</t>
  </si>
  <si>
    <t>Verify disclaimer text.</t>
  </si>
  <si>
    <t>1. Open calculator page.
2. Scroll to the disclaimer/information section.
3. Read the displayed disclaimer.</t>
  </si>
  <si>
    <t>Displayed disclaimer</t>
  </si>
  <si>
    <t>Disclaimer should clearly state that calculator results are indicative/illustrative and actual rates/terms may vary.</t>
  </si>
  <si>
    <t>TC-14</t>
  </si>
  <si>
    <t>Home Loan page is accessible.</t>
  </si>
  <si>
    <t>Verify desktop layout.</t>
  </si>
  <si>
    <t>1. Open page at desktop resolution.
2. Check calculator fields.
3. Check dropdowns and results.
4. Check bank offer cards and buttons.</t>
  </si>
  <si>
    <t>Desktop viewport</t>
  </si>
  <si>
    <t>All important controls and content should be visible and usable without overlap or clipping.</t>
  </si>
  <si>
    <t>TC-15</t>
  </si>
  <si>
    <t>Verify mobile layout.</t>
  </si>
  <si>
    <t>1. Open page using mobile viewport.
2. Check calculator fields and dropdowns.
3. Scroll through results and offers.
4. Check buttons and text.</t>
  </si>
  <si>
    <t>Mobile viewport</t>
  </si>
  <si>
    <t>The page should remain usable with readable content and accessible controls without critical overlap or clipping.</t>
  </si>
  <si>
    <t>Defect Id.</t>
  </si>
  <si>
    <t>Module name</t>
  </si>
  <si>
    <t>Defect Summary</t>
  </si>
  <si>
    <t>Defect Priority</t>
  </si>
  <si>
    <t>Assigned To</t>
  </si>
  <si>
    <t>Status</t>
  </si>
  <si>
    <t>No defects are pre-filled. Add a defect only when a defect is actually observed during execution.</t>
  </si>
  <si>
    <t>BR_ID</t>
  </si>
  <si>
    <t>TR_ID</t>
  </si>
  <si>
    <t>TS_ID</t>
  </si>
  <si>
    <t>TC_ID</t>
  </si>
  <si>
    <t>STATUS</t>
  </si>
  <si>
    <t>DR_ID</t>
  </si>
  <si>
    <t>RQ-06</t>
  </si>
  <si>
    <t>TEST EXECUTION SUMMARY</t>
  </si>
  <si>
    <t>Project Name</t>
  </si>
  <si>
    <t>Module Name</t>
  </si>
  <si>
    <t>Total Cases</t>
  </si>
  <si>
    <t>Total Passed</t>
  </si>
  <si>
    <t>Total Failed</t>
  </si>
  <si>
    <t>Total Executed</t>
  </si>
  <si>
    <t>Pass Percentage</t>
  </si>
  <si>
    <t>Fail Percentage</t>
  </si>
  <si>
    <t>Completion Percentage</t>
  </si>
  <si>
    <t>Magicbricks</t>
  </si>
  <si>
    <t>Home Loan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</si>
</sst>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5">
    <fill>
      <patternFill patternType="none"/>
    </fill>
    <fill>
      <patternFill patternType="gray125"/>
    </fill>
    <fill>
      <patternFill patternType="solid">
        <fgColor rgb="FF7F3F98"/>
      </patternFill>
    </fill>
    <fill>
      <patternFill patternType="solid">
        <fgColor rgb="FF5B9BD5"/>
      </patternFill>
    </fill>
    <fill>
      <patternFill patternType="solid">
        <fgColor rgb="FFC55A11"/>
      </patternFill>
    </fill>
  </fills>
  <borders count="4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1" fillId="4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1" fillId="2" borderId="1" xfId="0" applyFont="1" applyFill="1" applyBorder="1" applyAlignment="1">
      <alignment vertical="top" wrapText="1"/>
    </xf>
    <xf numFmtId="0" fontId="1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9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0" fillId="0" borderId="2" xfId="0" applyBorder="1" applyAlignment="1"/>
    <xf numFmtId="0" fontId="0" fillId="0" borderId="3" xfId="0" applyBorder="1" applyAlignment="1"/>
    <xf numFmtId="0" fontId="0" fillId="0" borderId="0" xfId="0" applyAlignment="1"/>
  </cellXfs>
  <cellStyles count="1">
    <cellStyle name="Normal" xfId="0" builtinId="0"/>
  </cellStyles>
  <dxfs count="9"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C15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8" customWidth="1"/>
    <col min="2" max="2" width="115" customWidth="1"/>
    <col min="3" max="3" width="14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6" t="s">
        <v>3</v>
      </c>
      <c r="B2" s="6" t="s">
        <v>4</v>
      </c>
      <c r="C2" s="6" t="s">
        <v>5</v>
      </c>
    </row>
    <row r="3" spans="1:3">
      <c r="A3" s="3" t="s">
        <v>6</v>
      </c>
      <c r="B3" s="3" t="s">
        <v>7</v>
      </c>
      <c r="C3" s="3" t="s">
        <v>5</v>
      </c>
    </row>
    <row r="4" spans="1:3">
      <c r="A4" s="3" t="s">
        <v>6</v>
      </c>
      <c r="B4" s="3" t="s">
        <v>8</v>
      </c>
      <c r="C4" s="3" t="s">
        <v>5</v>
      </c>
    </row>
    <row r="5" spans="1:3">
      <c r="A5" s="6" t="s">
        <v>3</v>
      </c>
      <c r="B5" s="6" t="s">
        <v>9</v>
      </c>
      <c r="C5" s="6" t="s">
        <v>5</v>
      </c>
    </row>
    <row r="6" spans="1:3">
      <c r="A6" s="3" t="s">
        <v>6</v>
      </c>
      <c r="B6" s="3" t="s">
        <v>10</v>
      </c>
      <c r="C6" s="3" t="s">
        <v>5</v>
      </c>
    </row>
    <row r="7" spans="1:3">
      <c r="A7" s="3" t="s">
        <v>6</v>
      </c>
      <c r="B7" s="3" t="s">
        <v>11</v>
      </c>
      <c r="C7" s="3" t="s">
        <v>5</v>
      </c>
    </row>
    <row r="8" spans="1:3">
      <c r="A8" s="6" t="s">
        <v>3</v>
      </c>
      <c r="B8" s="6" t="s">
        <v>12</v>
      </c>
      <c r="C8" s="6" t="s">
        <v>5</v>
      </c>
    </row>
    <row r="9" spans="1:3">
      <c r="A9" s="3" t="s">
        <v>6</v>
      </c>
      <c r="B9" s="3" t="s">
        <v>13</v>
      </c>
      <c r="C9" s="3" t="s">
        <v>14</v>
      </c>
    </row>
    <row r="10" spans="1:3">
      <c r="A10" s="3" t="s">
        <v>6</v>
      </c>
      <c r="B10" s="3" t="s">
        <v>15</v>
      </c>
      <c r="C10" s="3" t="s">
        <v>5</v>
      </c>
    </row>
    <row r="11" spans="1:3">
      <c r="A11" s="6" t="s">
        <v>3</v>
      </c>
      <c r="B11" s="6" t="s">
        <v>16</v>
      </c>
      <c r="C11" s="6" t="s">
        <v>5</v>
      </c>
    </row>
    <row r="12" spans="1:3">
      <c r="A12" s="3" t="s">
        <v>6</v>
      </c>
      <c r="B12" s="3" t="s">
        <v>17</v>
      </c>
      <c r="C12" s="3" t="s">
        <v>5</v>
      </c>
    </row>
    <row r="13" spans="1:3">
      <c r="A13" s="6" t="s">
        <v>3</v>
      </c>
      <c r="B13" s="6" t="s">
        <v>18</v>
      </c>
      <c r="C13" s="6" t="s">
        <v>5</v>
      </c>
    </row>
    <row r="14" spans="1:3">
      <c r="A14" s="3" t="s">
        <v>6</v>
      </c>
      <c r="B14" s="3" t="s">
        <v>19</v>
      </c>
      <c r="C14" s="3" t="s">
        <v>5</v>
      </c>
    </row>
    <row r="15" spans="1:3">
      <c r="A15" s="3" t="s">
        <v>6</v>
      </c>
      <c r="B15" s="3" t="s">
        <v>20</v>
      </c>
      <c r="C15" s="3" t="s">
        <v>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F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" customWidth="1"/>
    <col min="2" max="2" width="24" customWidth="1"/>
    <col min="3" max="3" width="62" customWidth="1"/>
    <col min="4" max="4" width="28" customWidth="1"/>
    <col min="5" max="5" width="22" customWidth="1"/>
    <col min="6" max="6" width="75" customWidth="1"/>
  </cols>
  <sheetData>
    <row r="1" spans="1:6">
      <c r="A1" s="2" t="s">
        <v>21</v>
      </c>
      <c r="B1" s="2" t="s">
        <v>22</v>
      </c>
      <c r="C1" s="2" t="s">
        <v>23</v>
      </c>
      <c r="D1" s="2" t="s">
        <v>24</v>
      </c>
      <c r="E1" s="2" t="s">
        <v>25</v>
      </c>
      <c r="F1" s="2" t="s">
        <v>26</v>
      </c>
    </row>
    <row r="2" spans="1:6">
      <c r="A2" s="3" t="s">
        <v>27</v>
      </c>
      <c r="B2" s="3" t="s">
        <v>28</v>
      </c>
      <c r="C2" s="3" t="s">
        <v>29</v>
      </c>
      <c r="D2" s="3" t="s">
        <v>30</v>
      </c>
      <c r="E2" s="3">
        <v>3</v>
      </c>
      <c r="F2" s="3" t="s">
        <v>31</v>
      </c>
    </row>
    <row r="3" spans="1:6">
      <c r="A3" s="3" t="s">
        <v>32</v>
      </c>
      <c r="B3" s="3" t="s">
        <v>33</v>
      </c>
      <c r="C3" s="3" t="s">
        <v>34</v>
      </c>
      <c r="D3" s="3" t="s">
        <v>30</v>
      </c>
      <c r="E3" s="3">
        <v>2</v>
      </c>
      <c r="F3" s="3" t="s">
        <v>35</v>
      </c>
    </row>
    <row r="4" spans="1:6">
      <c r="A4" s="3" t="s">
        <v>36</v>
      </c>
      <c r="B4" s="3" t="s">
        <v>37</v>
      </c>
      <c r="C4" s="3" t="s">
        <v>38</v>
      </c>
      <c r="D4" s="3" t="s">
        <v>30</v>
      </c>
      <c r="E4" s="3">
        <v>2</v>
      </c>
      <c r="F4" s="3" t="s">
        <v>39</v>
      </c>
    </row>
    <row r="5" spans="1:6">
      <c r="A5" s="3" t="s">
        <v>40</v>
      </c>
      <c r="B5" s="3" t="s">
        <v>37</v>
      </c>
      <c r="C5" s="3" t="s">
        <v>41</v>
      </c>
      <c r="D5" s="3" t="s">
        <v>30</v>
      </c>
      <c r="E5" s="3">
        <v>2</v>
      </c>
      <c r="F5" s="3" t="s">
        <v>42</v>
      </c>
    </row>
    <row r="6" spans="1:6">
      <c r="A6" s="3" t="s">
        <v>43</v>
      </c>
      <c r="B6" s="3" t="s">
        <v>44</v>
      </c>
      <c r="C6" s="3" t="s">
        <v>45</v>
      </c>
      <c r="D6" s="3" t="s">
        <v>46</v>
      </c>
      <c r="E6" s="3">
        <v>2</v>
      </c>
      <c r="F6" s="3" t="s">
        <v>47</v>
      </c>
    </row>
    <row r="7" spans="1:6">
      <c r="A7" s="3" t="s">
        <v>48</v>
      </c>
      <c r="B7" s="3" t="s">
        <v>49</v>
      </c>
      <c r="C7" s="3" t="s">
        <v>50</v>
      </c>
      <c r="D7" s="3" t="s">
        <v>30</v>
      </c>
      <c r="E7" s="3">
        <v>2</v>
      </c>
      <c r="F7" s="3" t="s">
        <v>51</v>
      </c>
    </row>
    <row r="8" spans="1:6">
      <c r="A8" s="3" t="s">
        <v>52</v>
      </c>
      <c r="B8" s="3" t="s">
        <v>53</v>
      </c>
      <c r="C8" s="3" t="s">
        <v>54</v>
      </c>
      <c r="D8" s="3" t="s">
        <v>55</v>
      </c>
      <c r="E8" s="3">
        <v>1</v>
      </c>
      <c r="F8" s="3" t="s">
        <v>56</v>
      </c>
    </row>
    <row r="9" spans="1:6">
      <c r="A9" s="3" t="s">
        <v>57</v>
      </c>
      <c r="B9" s="3" t="s">
        <v>58</v>
      </c>
      <c r="C9" s="3" t="s">
        <v>59</v>
      </c>
      <c r="D9" s="3" t="s">
        <v>60</v>
      </c>
      <c r="E9" s="3">
        <v>1</v>
      </c>
      <c r="F9" s="3" t="s">
        <v>61</v>
      </c>
    </row>
  </sheetData>
  <autoFilter ref="A1:F9" xr:uid="{00000000-0009-0000-0000-000001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M2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5" customWidth="1"/>
    <col min="2" max="2" width="16" customWidth="1"/>
    <col min="3" max="3" width="32" customWidth="1"/>
    <col min="4" max="4" width="38" customWidth="1"/>
    <col min="5" max="5" width="62" customWidth="1"/>
    <col min="6" max="6" width="42" customWidth="1"/>
    <col min="7" max="7" width="62" customWidth="1"/>
    <col min="8" max="8" width="35" customWidth="1"/>
    <col min="9" max="9" width="18" customWidth="1"/>
    <col min="10" max="10" width="35" customWidth="1"/>
    <col min="11" max="11" width="18" customWidth="1"/>
    <col min="12" max="12" width="32" customWidth="1"/>
    <col min="13" max="13" width="20" customWidth="1"/>
  </cols>
  <sheetData>
    <row r="1" spans="1:13">
      <c r="A1" s="4" t="s">
        <v>62</v>
      </c>
      <c r="B1" s="4" t="s">
        <v>63</v>
      </c>
      <c r="C1" s="4" t="s">
        <v>64</v>
      </c>
      <c r="D1" s="4" t="s">
        <v>65</v>
      </c>
      <c r="E1" s="4" t="s">
        <v>66</v>
      </c>
      <c r="F1" s="4" t="s">
        <v>67</v>
      </c>
      <c r="G1" s="4" t="s">
        <v>68</v>
      </c>
      <c r="H1" s="4" t="s">
        <v>69</v>
      </c>
      <c r="I1" s="4" t="s">
        <v>70</v>
      </c>
      <c r="J1" s="4" t="s">
        <v>71</v>
      </c>
      <c r="K1" s="4" t="s">
        <v>72</v>
      </c>
      <c r="L1" s="4" t="s">
        <v>73</v>
      </c>
      <c r="M1" s="4" t="s">
        <v>74</v>
      </c>
    </row>
    <row r="2" spans="1:13" ht="99.95" customHeight="1">
      <c r="A2" s="3" t="s">
        <v>75</v>
      </c>
      <c r="B2" s="3" t="s">
        <v>27</v>
      </c>
      <c r="C2" s="3" t="s">
        <v>76</v>
      </c>
      <c r="D2" s="3" t="s">
        <v>77</v>
      </c>
      <c r="E2" s="3" t="s">
        <v>78</v>
      </c>
      <c r="F2" s="3" t="s">
        <v>79</v>
      </c>
      <c r="G2" s="3" t="s">
        <v>80</v>
      </c>
      <c r="H2" s="3" t="s">
        <v>81</v>
      </c>
      <c r="I2" s="3" t="s">
        <v>81</v>
      </c>
      <c r="J2" s="3" t="s">
        <v>81</v>
      </c>
      <c r="K2" s="3" t="s">
        <v>81</v>
      </c>
      <c r="L2" s="3"/>
      <c r="M2" s="3" t="s">
        <v>28</v>
      </c>
    </row>
    <row r="3" spans="1:13" ht="99.95" customHeight="1">
      <c r="A3" s="3" t="s">
        <v>82</v>
      </c>
      <c r="B3" s="3" t="s">
        <v>27</v>
      </c>
      <c r="C3" s="3" t="s">
        <v>83</v>
      </c>
      <c r="D3" s="3" t="s">
        <v>84</v>
      </c>
      <c r="E3" s="3" t="s">
        <v>85</v>
      </c>
      <c r="F3" s="3" t="s">
        <v>86</v>
      </c>
      <c r="G3" s="3" t="s">
        <v>87</v>
      </c>
      <c r="H3" s="3" t="s">
        <v>81</v>
      </c>
      <c r="I3" s="3" t="s">
        <v>81</v>
      </c>
      <c r="J3" s="3" t="s">
        <v>81</v>
      </c>
      <c r="K3" s="3" t="s">
        <v>81</v>
      </c>
      <c r="L3" s="3"/>
      <c r="M3" s="3" t="s">
        <v>28</v>
      </c>
    </row>
    <row r="4" spans="1:13" ht="99.95" customHeight="1">
      <c r="A4" s="3" t="s">
        <v>88</v>
      </c>
      <c r="B4" s="3" t="s">
        <v>27</v>
      </c>
      <c r="C4" s="3" t="s">
        <v>83</v>
      </c>
      <c r="D4" s="3" t="s">
        <v>89</v>
      </c>
      <c r="E4" s="3" t="s">
        <v>90</v>
      </c>
      <c r="F4" s="3" t="s">
        <v>91</v>
      </c>
      <c r="G4" s="3" t="s">
        <v>92</v>
      </c>
      <c r="H4" s="3" t="s">
        <v>81</v>
      </c>
      <c r="I4" s="3" t="s">
        <v>81</v>
      </c>
      <c r="J4" s="3" t="s">
        <v>81</v>
      </c>
      <c r="K4" s="3" t="s">
        <v>81</v>
      </c>
      <c r="L4" s="3"/>
      <c r="M4" s="3" t="s">
        <v>33</v>
      </c>
    </row>
    <row r="5" spans="1:13" ht="99.95" customHeight="1">
      <c r="A5" s="3" t="s">
        <v>93</v>
      </c>
      <c r="B5" s="3" t="s">
        <v>32</v>
      </c>
      <c r="C5" s="3" t="s">
        <v>83</v>
      </c>
      <c r="D5" s="3" t="s">
        <v>94</v>
      </c>
      <c r="E5" s="3" t="s">
        <v>95</v>
      </c>
      <c r="F5" s="3" t="s">
        <v>96</v>
      </c>
      <c r="G5" s="3" t="s">
        <v>97</v>
      </c>
      <c r="H5" s="3" t="s">
        <v>81</v>
      </c>
      <c r="I5" s="3" t="s">
        <v>81</v>
      </c>
      <c r="J5" s="3" t="s">
        <v>81</v>
      </c>
      <c r="K5" s="3" t="s">
        <v>81</v>
      </c>
      <c r="L5" s="3"/>
      <c r="M5" s="3" t="s">
        <v>33</v>
      </c>
    </row>
    <row r="6" spans="1:13" ht="99.95" customHeight="1">
      <c r="A6" s="3" t="s">
        <v>98</v>
      </c>
      <c r="B6" s="3" t="s">
        <v>32</v>
      </c>
      <c r="C6" s="3" t="s">
        <v>83</v>
      </c>
      <c r="D6" s="3" t="s">
        <v>99</v>
      </c>
      <c r="E6" s="3" t="s">
        <v>100</v>
      </c>
      <c r="F6" s="3" t="s">
        <v>101</v>
      </c>
      <c r="G6" s="3" t="s">
        <v>102</v>
      </c>
      <c r="H6" s="3" t="s">
        <v>81</v>
      </c>
      <c r="I6" s="3" t="s">
        <v>81</v>
      </c>
      <c r="J6" s="3" t="s">
        <v>81</v>
      </c>
      <c r="K6" s="3" t="s">
        <v>81</v>
      </c>
      <c r="L6" s="3"/>
      <c r="M6" s="3" t="s">
        <v>33</v>
      </c>
    </row>
    <row r="7" spans="1:13" ht="99.95" customHeight="1">
      <c r="A7" s="3" t="s">
        <v>103</v>
      </c>
      <c r="B7" s="3" t="s">
        <v>36</v>
      </c>
      <c r="C7" s="3" t="s">
        <v>104</v>
      </c>
      <c r="D7" s="3" t="s">
        <v>105</v>
      </c>
      <c r="E7" s="3" t="s">
        <v>106</v>
      </c>
      <c r="F7" s="3" t="s">
        <v>107</v>
      </c>
      <c r="G7" s="3" t="s">
        <v>108</v>
      </c>
      <c r="H7" s="3" t="s">
        <v>81</v>
      </c>
      <c r="I7" s="3" t="s">
        <v>81</v>
      </c>
      <c r="J7" s="3" t="s">
        <v>81</v>
      </c>
      <c r="K7" s="3" t="s">
        <v>81</v>
      </c>
      <c r="L7" s="3"/>
      <c r="M7" s="3" t="s">
        <v>37</v>
      </c>
    </row>
    <row r="8" spans="1:13" ht="99.95" customHeight="1">
      <c r="A8" s="3" t="s">
        <v>109</v>
      </c>
      <c r="B8" s="3" t="s">
        <v>36</v>
      </c>
      <c r="C8" s="3" t="s">
        <v>104</v>
      </c>
      <c r="D8" s="3" t="s">
        <v>110</v>
      </c>
      <c r="E8" s="3" t="s">
        <v>111</v>
      </c>
      <c r="F8" s="3" t="s">
        <v>112</v>
      </c>
      <c r="G8" s="3" t="s">
        <v>113</v>
      </c>
      <c r="H8" s="3" t="s">
        <v>81</v>
      </c>
      <c r="I8" s="3" t="s">
        <v>81</v>
      </c>
      <c r="J8" s="3" t="s">
        <v>81</v>
      </c>
      <c r="K8" s="3" t="s">
        <v>81</v>
      </c>
      <c r="L8" s="3"/>
      <c r="M8" s="3" t="s">
        <v>37</v>
      </c>
    </row>
    <row r="9" spans="1:13" ht="99.95" customHeight="1">
      <c r="A9" s="3" t="s">
        <v>114</v>
      </c>
      <c r="B9" s="3" t="s">
        <v>40</v>
      </c>
      <c r="C9" s="3" t="s">
        <v>104</v>
      </c>
      <c r="D9" s="3" t="s">
        <v>115</v>
      </c>
      <c r="E9" s="3" t="s">
        <v>116</v>
      </c>
      <c r="F9" s="3" t="s">
        <v>117</v>
      </c>
      <c r="G9" s="3" t="s">
        <v>118</v>
      </c>
      <c r="H9" s="3" t="s">
        <v>81</v>
      </c>
      <c r="I9" s="3" t="s">
        <v>81</v>
      </c>
      <c r="J9" s="3" t="s">
        <v>81</v>
      </c>
      <c r="K9" s="3" t="s">
        <v>81</v>
      </c>
      <c r="L9" s="3"/>
      <c r="M9" s="3" t="s">
        <v>37</v>
      </c>
    </row>
    <row r="10" spans="1:13" ht="99.95" customHeight="1">
      <c r="A10" s="3" t="s">
        <v>119</v>
      </c>
      <c r="B10" s="3" t="s">
        <v>43</v>
      </c>
      <c r="C10" s="3" t="s">
        <v>120</v>
      </c>
      <c r="D10" s="3" t="s">
        <v>121</v>
      </c>
      <c r="E10" s="3" t="s">
        <v>122</v>
      </c>
      <c r="F10" s="3" t="s">
        <v>123</v>
      </c>
      <c r="G10" s="3" t="s">
        <v>124</v>
      </c>
      <c r="H10" s="3" t="s">
        <v>81</v>
      </c>
      <c r="I10" s="3" t="s">
        <v>81</v>
      </c>
      <c r="J10" s="3" t="s">
        <v>81</v>
      </c>
      <c r="K10" s="3" t="s">
        <v>81</v>
      </c>
      <c r="L10" s="3"/>
      <c r="M10" s="3" t="s">
        <v>125</v>
      </c>
    </row>
    <row r="11" spans="1:13" ht="99.95" customHeight="1">
      <c r="A11" s="3" t="s">
        <v>126</v>
      </c>
      <c r="B11" s="3" t="s">
        <v>43</v>
      </c>
      <c r="C11" s="3" t="s">
        <v>127</v>
      </c>
      <c r="D11" s="3" t="s">
        <v>128</v>
      </c>
      <c r="E11" s="3" t="s">
        <v>129</v>
      </c>
      <c r="F11" s="3" t="s">
        <v>130</v>
      </c>
      <c r="G11" s="3" t="s">
        <v>131</v>
      </c>
      <c r="H11" s="3" t="s">
        <v>81</v>
      </c>
      <c r="I11" s="3" t="s">
        <v>81</v>
      </c>
      <c r="J11" s="3" t="s">
        <v>81</v>
      </c>
      <c r="K11" s="3" t="s">
        <v>81</v>
      </c>
      <c r="L11" s="3" t="s">
        <v>132</v>
      </c>
      <c r="M11" s="3" t="s">
        <v>44</v>
      </c>
    </row>
    <row r="12" spans="1:13" ht="99.95" customHeight="1">
      <c r="A12" s="3" t="s">
        <v>133</v>
      </c>
      <c r="B12" s="3" t="s">
        <v>48</v>
      </c>
      <c r="C12" s="3" t="s">
        <v>134</v>
      </c>
      <c r="D12" s="3" t="s">
        <v>135</v>
      </c>
      <c r="E12" s="3" t="s">
        <v>136</v>
      </c>
      <c r="F12" s="3" t="s">
        <v>137</v>
      </c>
      <c r="G12" s="3" t="s">
        <v>138</v>
      </c>
      <c r="H12" s="3" t="s">
        <v>81</v>
      </c>
      <c r="I12" s="3" t="s">
        <v>81</v>
      </c>
      <c r="J12" s="3" t="s">
        <v>81</v>
      </c>
      <c r="K12" s="3" t="s">
        <v>81</v>
      </c>
      <c r="L12" s="3"/>
      <c r="M12" s="3" t="s">
        <v>49</v>
      </c>
    </row>
    <row r="13" spans="1:13" ht="99.95" customHeight="1">
      <c r="A13" s="3" t="s">
        <v>139</v>
      </c>
      <c r="B13" s="3" t="s">
        <v>48</v>
      </c>
      <c r="C13" s="3" t="s">
        <v>140</v>
      </c>
      <c r="D13" s="3" t="s">
        <v>141</v>
      </c>
      <c r="E13" s="3" t="s">
        <v>142</v>
      </c>
      <c r="F13" s="3" t="s">
        <v>143</v>
      </c>
      <c r="G13" s="3" t="s">
        <v>144</v>
      </c>
      <c r="H13" s="3" t="s">
        <v>81</v>
      </c>
      <c r="I13" s="3" t="s">
        <v>81</v>
      </c>
      <c r="J13" s="3" t="s">
        <v>81</v>
      </c>
      <c r="K13" s="3" t="s">
        <v>81</v>
      </c>
      <c r="L13" s="3"/>
      <c r="M13" s="3" t="s">
        <v>49</v>
      </c>
    </row>
    <row r="14" spans="1:13" ht="99.95" customHeight="1">
      <c r="A14" s="3" t="s">
        <v>145</v>
      </c>
      <c r="B14" s="3" t="s">
        <v>52</v>
      </c>
      <c r="C14" s="3" t="s">
        <v>146</v>
      </c>
      <c r="D14" s="3" t="s">
        <v>147</v>
      </c>
      <c r="E14" s="3" t="s">
        <v>148</v>
      </c>
      <c r="F14" s="3" t="s">
        <v>149</v>
      </c>
      <c r="G14" s="3" t="s">
        <v>150</v>
      </c>
      <c r="H14" s="3" t="s">
        <v>81</v>
      </c>
      <c r="I14" s="3" t="s">
        <v>81</v>
      </c>
      <c r="J14" s="3" t="s">
        <v>81</v>
      </c>
      <c r="K14" s="3" t="s">
        <v>81</v>
      </c>
      <c r="L14" s="3"/>
      <c r="M14" s="3" t="s">
        <v>53</v>
      </c>
    </row>
    <row r="15" spans="1:13" ht="99.95" customHeight="1">
      <c r="A15" s="3" t="s">
        <v>151</v>
      </c>
      <c r="B15" s="3" t="s">
        <v>57</v>
      </c>
      <c r="C15" s="3" t="s">
        <v>152</v>
      </c>
      <c r="D15" s="3" t="s">
        <v>153</v>
      </c>
      <c r="E15" s="3" t="s">
        <v>154</v>
      </c>
      <c r="F15" s="3" t="s">
        <v>155</v>
      </c>
      <c r="G15" s="3" t="s">
        <v>156</v>
      </c>
      <c r="H15" s="3" t="s">
        <v>81</v>
      </c>
      <c r="I15" s="3" t="s">
        <v>81</v>
      </c>
      <c r="J15" s="3" t="s">
        <v>81</v>
      </c>
      <c r="K15" s="3" t="s">
        <v>81</v>
      </c>
      <c r="L15" s="3"/>
      <c r="M15" s="3" t="s">
        <v>58</v>
      </c>
    </row>
    <row r="16" spans="1:13" ht="99.95" customHeight="1">
      <c r="A16" s="3" t="s">
        <v>157</v>
      </c>
      <c r="B16" s="3" t="s">
        <v>57</v>
      </c>
      <c r="C16" s="3" t="s">
        <v>152</v>
      </c>
      <c r="D16" s="3" t="s">
        <v>158</v>
      </c>
      <c r="E16" s="3" t="s">
        <v>159</v>
      </c>
      <c r="F16" s="3" t="s">
        <v>160</v>
      </c>
      <c r="G16" s="3" t="s">
        <v>161</v>
      </c>
      <c r="H16" s="3" t="s">
        <v>81</v>
      </c>
      <c r="I16" s="3" t="s">
        <v>81</v>
      </c>
      <c r="J16" s="3" t="s">
        <v>81</v>
      </c>
      <c r="K16" s="3" t="s">
        <v>81</v>
      </c>
      <c r="L16" s="3"/>
      <c r="M16" s="3" t="s">
        <v>58</v>
      </c>
    </row>
    <row r="17" ht="99.95" customHeight="1"/>
    <row r="18" ht="99.95" customHeight="1"/>
    <row r="19" ht="99.95" customHeight="1"/>
    <row r="20" ht="99.95" customHeight="1"/>
    <row r="21" ht="99.95" customHeight="1"/>
    <row r="22" ht="99.95" customHeight="1"/>
  </sheetData>
  <autoFilter ref="A1:M16" xr:uid="{00000000-0009-0000-0000-000002000000}"/>
  <conditionalFormatting sqref="I2:I16">
    <cfRule type="cellIs" dxfId="8" priority="1" operator="equal">
      <formula>"Passed"</formula>
    </cfRule>
    <cfRule type="cellIs" dxfId="7" priority="2" operator="equal">
      <formula>"Failed"</formula>
    </cfRule>
    <cfRule type="cellIs" dxfId="6" priority="3" operator="equal">
      <formula>"Blocked"</formula>
    </cfRule>
    <cfRule type="cellIs" dxfId="5" priority="4" operator="equal">
      <formula>"Passed"</formula>
    </cfRule>
    <cfRule type="cellIs" dxfId="4" priority="5" operator="equal">
      <formula>"Failed"</formula>
    </cfRule>
  </conditionalFormatting>
  <conditionalFormatting sqref="K2:K16">
    <cfRule type="cellIs" dxfId="3" priority="6" operator="equal">
      <formula>"Passed"</formula>
    </cfRule>
    <cfRule type="cellIs" dxfId="2" priority="7" operator="equal">
      <formula>"Failed"</formula>
    </cfRule>
  </conditionalFormatting>
  <dataValidations count="2">
    <dataValidation type="list" sqref="I2:I16 K2:K16" xr:uid="{00000000-0002-0000-0200-000000000000}">
      <formula1>"Not Executed,Passed,Failed,Blocked"</formula1>
    </dataValidation>
    <dataValidation type="list" allowBlank="1" sqref="I2:I16 K2:K16" xr:uid="{00000000-0002-0000-0200-000002000000}">
      <formula1>"Not Executed,Passed,Failed,Blocked"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F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2" customWidth="1"/>
    <col min="2" max="2" width="28" customWidth="1"/>
    <col min="3" max="3" width="65" customWidth="1"/>
    <col min="4" max="4" width="20" customWidth="1"/>
    <col min="5" max="5" width="28" customWidth="1"/>
    <col min="6" max="6" width="20" customWidth="1"/>
  </cols>
  <sheetData>
    <row r="1" spans="1:6">
      <c r="A1" s="4" t="s">
        <v>162</v>
      </c>
      <c r="B1" s="4" t="s">
        <v>163</v>
      </c>
      <c r="C1" s="4" t="s">
        <v>164</v>
      </c>
      <c r="D1" s="4" t="s">
        <v>165</v>
      </c>
      <c r="E1" s="4" t="s">
        <v>166</v>
      </c>
      <c r="F1" s="4" t="s">
        <v>167</v>
      </c>
    </row>
    <row r="2" spans="1:6" ht="35.1" customHeight="1">
      <c r="A2" s="10" t="s">
        <v>168</v>
      </c>
      <c r="B2" s="12"/>
      <c r="C2" s="12"/>
      <c r="D2" s="12"/>
      <c r="E2" s="12"/>
      <c r="F2" s="13"/>
    </row>
  </sheetData>
  <mergeCells count="1">
    <mergeCell ref="A2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F16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18" customWidth="1"/>
    <col min="3" max="3" width="16" customWidth="1"/>
    <col min="4" max="4" width="18" customWidth="1"/>
    <col min="5" max="5" width="16" customWidth="1"/>
    <col min="6" max="6" width="18" customWidth="1"/>
  </cols>
  <sheetData>
    <row r="1" spans="1:6" ht="21.95" customHeight="1">
      <c r="A1" s="7" t="s">
        <v>169</v>
      </c>
      <c r="B1" s="7" t="s">
        <v>170</v>
      </c>
      <c r="C1" s="7" t="s">
        <v>171</v>
      </c>
      <c r="D1" s="7" t="s">
        <v>172</v>
      </c>
      <c r="E1" s="7" t="s">
        <v>173</v>
      </c>
      <c r="F1" s="7" t="s">
        <v>174</v>
      </c>
    </row>
    <row r="2" spans="1:6">
      <c r="A2" s="8" t="s">
        <v>33</v>
      </c>
      <c r="B2" s="8" t="s">
        <v>33</v>
      </c>
      <c r="C2" s="8" t="s">
        <v>27</v>
      </c>
      <c r="D2" s="8" t="s">
        <v>75</v>
      </c>
      <c r="E2" s="5" t="s">
        <v>81</v>
      </c>
      <c r="F2" s="8"/>
    </row>
    <row r="3" spans="1:6">
      <c r="A3" s="8"/>
      <c r="B3" s="8"/>
      <c r="C3" s="8"/>
      <c r="D3" s="8" t="s">
        <v>82</v>
      </c>
      <c r="E3" s="5" t="s">
        <v>81</v>
      </c>
      <c r="F3" s="8"/>
    </row>
    <row r="4" spans="1:6">
      <c r="A4" s="8"/>
      <c r="B4" s="8"/>
      <c r="C4" s="8"/>
      <c r="D4" s="8" t="s">
        <v>88</v>
      </c>
      <c r="E4" s="5" t="s">
        <v>81</v>
      </c>
      <c r="F4" s="8"/>
    </row>
    <row r="5" spans="1:6">
      <c r="A5" s="8" t="s">
        <v>33</v>
      </c>
      <c r="B5" s="8" t="s">
        <v>33</v>
      </c>
      <c r="C5" s="8" t="s">
        <v>32</v>
      </c>
      <c r="D5" s="8" t="s">
        <v>93</v>
      </c>
      <c r="E5" s="5" t="s">
        <v>81</v>
      </c>
      <c r="F5" s="8"/>
    </row>
    <row r="6" spans="1:6">
      <c r="A6" s="8"/>
      <c r="B6" s="8"/>
      <c r="C6" s="8"/>
      <c r="D6" s="8" t="s">
        <v>98</v>
      </c>
      <c r="E6" s="5" t="s">
        <v>81</v>
      </c>
      <c r="F6" s="8"/>
    </row>
    <row r="7" spans="1:6">
      <c r="A7" s="8" t="s">
        <v>37</v>
      </c>
      <c r="B7" s="8" t="s">
        <v>37</v>
      </c>
      <c r="C7" s="8" t="s">
        <v>36</v>
      </c>
      <c r="D7" s="8" t="s">
        <v>103</v>
      </c>
      <c r="E7" s="5" t="s">
        <v>81</v>
      </c>
      <c r="F7" s="8"/>
    </row>
    <row r="8" spans="1:6">
      <c r="A8" s="8"/>
      <c r="B8" s="8"/>
      <c r="C8" s="8"/>
      <c r="D8" s="8" t="s">
        <v>109</v>
      </c>
      <c r="E8" s="5" t="s">
        <v>81</v>
      </c>
      <c r="F8" s="8"/>
    </row>
    <row r="9" spans="1:6">
      <c r="A9" s="8" t="s">
        <v>37</v>
      </c>
      <c r="B9" s="8" t="s">
        <v>37</v>
      </c>
      <c r="C9" s="8" t="s">
        <v>40</v>
      </c>
      <c r="D9" s="8" t="s">
        <v>114</v>
      </c>
      <c r="E9" s="5" t="s">
        <v>81</v>
      </c>
      <c r="F9" s="8"/>
    </row>
    <row r="10" spans="1:6">
      <c r="A10" s="8" t="s">
        <v>125</v>
      </c>
      <c r="B10" s="8" t="s">
        <v>125</v>
      </c>
      <c r="C10" s="8" t="s">
        <v>43</v>
      </c>
      <c r="D10" s="8" t="s">
        <v>119</v>
      </c>
      <c r="E10" s="5" t="s">
        <v>81</v>
      </c>
      <c r="F10" s="8"/>
    </row>
    <row r="11" spans="1:6">
      <c r="A11" s="8" t="s">
        <v>125</v>
      </c>
      <c r="B11" s="8" t="s">
        <v>175</v>
      </c>
      <c r="C11" s="8" t="s">
        <v>43</v>
      </c>
      <c r="D11" s="8" t="s">
        <v>126</v>
      </c>
      <c r="E11" s="5" t="s">
        <v>81</v>
      </c>
      <c r="F11" s="8"/>
    </row>
    <row r="12" spans="1:6">
      <c r="A12" s="8" t="s">
        <v>49</v>
      </c>
      <c r="B12" s="8" t="s">
        <v>49</v>
      </c>
      <c r="C12" s="8" t="s">
        <v>48</v>
      </c>
      <c r="D12" s="8" t="s">
        <v>133</v>
      </c>
      <c r="E12" s="5" t="s">
        <v>81</v>
      </c>
      <c r="F12" s="8"/>
    </row>
    <row r="13" spans="1:6">
      <c r="A13" s="8"/>
      <c r="B13" s="8"/>
      <c r="C13" s="8"/>
      <c r="D13" s="8" t="s">
        <v>139</v>
      </c>
      <c r="E13" s="5" t="s">
        <v>81</v>
      </c>
      <c r="F13" s="8"/>
    </row>
    <row r="14" spans="1:6">
      <c r="A14" s="8" t="s">
        <v>53</v>
      </c>
      <c r="B14" s="8" t="s">
        <v>53</v>
      </c>
      <c r="C14" s="8" t="s">
        <v>52</v>
      </c>
      <c r="D14" s="8" t="s">
        <v>145</v>
      </c>
      <c r="E14" s="5" t="s">
        <v>81</v>
      </c>
      <c r="F14" s="8"/>
    </row>
    <row r="15" spans="1:6">
      <c r="A15" s="8" t="s">
        <v>58</v>
      </c>
      <c r="B15" s="8" t="s">
        <v>58</v>
      </c>
      <c r="C15" s="8" t="s">
        <v>57</v>
      </c>
      <c r="D15" s="8" t="s">
        <v>151</v>
      </c>
      <c r="E15" s="5" t="s">
        <v>81</v>
      </c>
      <c r="F15" s="8"/>
    </row>
    <row r="16" spans="1:6">
      <c r="A16" s="8"/>
      <c r="B16" s="8"/>
      <c r="C16" s="8"/>
      <c r="D16" s="8" t="s">
        <v>157</v>
      </c>
      <c r="E16" s="5" t="s">
        <v>81</v>
      </c>
      <c r="F16" s="8"/>
    </row>
  </sheetData>
  <autoFilter ref="A1:F16" xr:uid="{00000000-0009-0000-0000-000004000000}"/>
  <conditionalFormatting sqref="E2:E11">
    <cfRule type="cellIs" dxfId="1" priority="1" operator="equal">
      <formula>"Passed"</formula>
    </cfRule>
    <cfRule type="cellIs" dxfId="0" priority="2" operator="equal">
      <formula>"Failed"</formula>
    </cfRule>
  </conditionalFormatting>
  <dataValidations count="1">
    <dataValidation type="list" sqref="E2:E16" xr:uid="{00000000-0002-0000-0400-000000000000}">
      <formula1>"Not Executed,Passed,Failed,Blocked"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I7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22" customWidth="1"/>
    <col min="2" max="2" width="28" customWidth="1"/>
    <col min="3" max="5" width="14" customWidth="1"/>
    <col min="6" max="6" width="15" customWidth="1"/>
    <col min="7" max="8" width="17" customWidth="1"/>
    <col min="9" max="9" width="20" customWidth="1"/>
  </cols>
  <sheetData>
    <row r="1" spans="1:9" ht="30" customHeight="1">
      <c r="A1" s="11" t="s">
        <v>176</v>
      </c>
      <c r="B1" s="14"/>
      <c r="C1" s="14"/>
      <c r="D1" s="14"/>
      <c r="E1" s="14"/>
      <c r="F1" s="14"/>
      <c r="G1" s="14"/>
      <c r="H1" s="14"/>
      <c r="I1" s="14"/>
    </row>
    <row r="2" spans="1:9">
      <c r="A2" s="4" t="s">
        <v>177</v>
      </c>
      <c r="B2" s="4" t="s">
        <v>178</v>
      </c>
      <c r="C2" s="4" t="s">
        <v>179</v>
      </c>
      <c r="D2" s="4" t="s">
        <v>180</v>
      </c>
      <c r="E2" s="4" t="s">
        <v>181</v>
      </c>
      <c r="F2" s="4" t="s">
        <v>182</v>
      </c>
      <c r="G2" s="4" t="s">
        <v>183</v>
      </c>
      <c r="H2" s="4" t="s">
        <v>184</v>
      </c>
      <c r="I2" s="4" t="s">
        <v>185</v>
      </c>
    </row>
    <row r="3" spans="1:9">
      <c r="A3" s="5" t="s">
        <v>186</v>
      </c>
      <c r="B3" s="5" t="s">
        <v>187</v>
      </c>
      <c r="C3" s="5">
        <v>15</v>
      </c>
      <c r="D3" s="5">
        <f>COUNTIF('Test cases'!I2:I16,"Passed")</f>
        <v>0</v>
      </c>
      <c r="E3" s="5">
        <f>COUNTIF('Test cases'!I2:I16,"Failed")</f>
        <v>0</v>
      </c>
      <c r="F3" s="5">
        <f>COUNTIF('Test cases'!I2:I16,"&lt;&gt;Not Executed")</f>
        <v>0</v>
      </c>
      <c r="G3" s="9">
        <f>IF(F3=0,0,D3/F3)</f>
        <v>0</v>
      </c>
      <c r="H3" s="9">
        <f>IF(F3=0,0,E3/F3)</f>
        <v>0</v>
      </c>
      <c r="I3" s="9">
        <f>IF(C3=0,0,F3/C3)</f>
        <v>0</v>
      </c>
    </row>
    <row r="6" spans="1:9" ht="42" customHeight="1">
      <c r="A6" s="14"/>
      <c r="B6" s="14"/>
      <c r="C6" s="14"/>
      <c r="D6" s="14"/>
      <c r="E6" s="14"/>
      <c r="F6" s="14"/>
      <c r="G6" s="14"/>
      <c r="H6" s="14"/>
      <c r="I6" s="14"/>
    </row>
    <row r="7" spans="1:9">
      <c r="A7" s="14"/>
      <c r="B7" s="14"/>
      <c r="C7" s="14"/>
      <c r="D7" s="14"/>
      <c r="E7" s="14"/>
      <c r="F7" s="14"/>
      <c r="G7" s="14"/>
      <c r="H7" s="14"/>
      <c r="I7" s="14"/>
    </row>
  </sheetData>
  <mergeCells count="2">
    <mergeCell ref="A1:I1"/>
    <mergeCell ref="A6:I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Magicbricks Home Loan Day 1 Test Plan</dc:title>
  <dc:subject>5 Epics, 8 Scenarios, 15 Test Cases, RTM and Test Execution Summary</dc:subject>
  <dc:creator>openpyxl</dc:creator>
  <cp:keywords/>
  <dc:description>Final simplified manual testing workbook based on the provided sample format and custom-agent analysis.</dc:description>
  <cp:lastModifiedBy>Meena, Nikita</cp:lastModifiedBy>
  <cp:revision/>
  <dcterms:created xsi:type="dcterms:W3CDTF">2026-09-10T11:09:18Z</dcterms:created>
  <dcterms:modified xsi:type="dcterms:W3CDTF">2026-09-15T05:32:46Z</dcterms:modified>
  <cp:category/>
  <cp:contentStatus/>
</cp:coreProperties>
</file>