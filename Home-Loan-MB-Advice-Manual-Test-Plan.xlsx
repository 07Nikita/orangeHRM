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kmeena\AppData\Local\Temp\"/>
    </mc:Choice>
  </mc:AlternateContent>
  <xr:revisionPtr revIDLastSave="0" documentId="8_{78EC09A7-62DC-4CEA-B814-6F503046D770}" xr6:coauthVersionLast="47" xr6:coauthVersionMax="47" xr10:uidLastSave="{00000000-0000-0000-0000-000000000000}"/>
  <bookViews>
    <workbookView xWindow="4020" yWindow="3110" windowWidth="14400" windowHeight="8170" tabRatio="500" xr2:uid="{00000000-000D-0000-FFFF-FFFF00000000}"/>
  </bookViews>
  <sheets>
    <sheet name="Test Plan" sheetId="7" r:id="rId1"/>
    <sheet name="User story" sheetId="1" r:id="rId2"/>
    <sheet name="Test Scenarios" sheetId="2" r:id="rId3"/>
    <sheet name="Test cases" sheetId="3" r:id="rId4"/>
    <sheet name="Defect Report" sheetId="4" r:id="rId5"/>
    <sheet name="RTM" sheetId="5" r:id="rId6"/>
    <sheet name="Summary" sheetId="6" r:id="rId7"/>
  </sheets>
  <definedNames>
    <definedName name="_xlnm._FilterDatabase" localSheetId="5" hidden="1">RTM!$A$1:$E$15</definedName>
    <definedName name="_xlnm._FilterDatabase" localSheetId="3" hidden="1">'Test cases'!$A$1:$K$15</definedName>
    <definedName name="_xlnm._FilterDatabase" localSheetId="2" hidden="1">'Test Scenarios'!$A$1:$F$9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6" l="1"/>
  <c r="F3" i="6"/>
  <c r="E3" i="6"/>
  <c r="D3" i="6"/>
  <c r="G3" i="6" s="1"/>
  <c r="C3" i="6"/>
  <c r="K3" i="6" s="1"/>
  <c r="J3" i="6" l="1"/>
  <c r="I3" i="6"/>
</calcChain>
</file>

<file path=xl/sharedStrings.xml><?xml version="1.0" encoding="utf-8"?>
<sst xmlns="http://schemas.openxmlformats.org/spreadsheetml/2006/main" count="382" uniqueCount="233">
  <si>
    <t>Issue Type</t>
  </si>
  <si>
    <t>Summary</t>
  </si>
  <si>
    <t>Priority</t>
  </si>
  <si>
    <t>Epic</t>
  </si>
  <si>
    <t>High</t>
  </si>
  <si>
    <t>Story</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</si>
  <si>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</si>
  <si>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</si>
  <si>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</si>
  <si>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</si>
  <si>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</si>
  <si>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</si>
  <si>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</si>
  <si>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</si>
  <si>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</si>
  <si>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</si>
  <si>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</si>
  <si>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</si>
  <si>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</si>
  <si>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</si>
  <si>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</si>
  <si>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t>Comments</t>
  </si>
  <si>
    <t>Req Reference</t>
  </si>
  <si>
    <t>TC-07</t>
  </si>
  <si>
    <t>Defect Id.</t>
  </si>
  <si>
    <t>TC-ID</t>
  </si>
  <si>
    <t>Module name</t>
  </si>
  <si>
    <t>Defect Summary</t>
  </si>
  <si>
    <t>Defect Priority</t>
  </si>
  <si>
    <t>Status</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</si>
  <si>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</si>
  <si>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</si>
  <si>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</si>
  <si>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</si>
  <si>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</si>
  <si>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</si>
  <si>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</si>
  <si>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</si>
  <si>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</si>
  <si>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</si>
  <si>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</si>
  <si>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</si>
  <si>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</si>
  <si>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</si>
  <si>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Completion Percentage</t>
  </si>
  <si>
    <t>Field</t>
  </si>
  <si>
    <t>Value</t>
  </si>
  <si>
    <t>Application</t>
  </si>
  <si>
    <t>MagicBricks</t>
  </si>
  <si>
    <t>Website</t>
  </si>
  <si>
    <t>https://www.magicbricks.com</t>
  </si>
  <si>
    <t>Module</t>
  </si>
  <si>
    <t>Home Loan + MB Advice</t>
  </si>
  <si>
    <t>Feature</t>
  </si>
  <si>
    <t>Buyer decision-support journey across MB Advice Compare, PropWorth, and Home Loan</t>
  </si>
  <si>
    <t>Objective</t>
  </si>
  <si>
    <t>Validate the buyer decision-support journey from MB Advice research to PropWorth valuation and Home Loan financing review.</t>
  </si>
  <si>
    <t>Scope</t>
  </si>
  <si>
    <t>Manual test plan generated from artifacts/Home-Loan-MB-Advice/test-design.json only.</t>
  </si>
  <si>
    <t>Testing Approach</t>
  </si>
  <si>
    <t>Journey-led manual functional testing with positive, negative, boundary, resilience, and traceability coverage.</t>
  </si>
  <si>
    <t>Test Types</t>
  </si>
  <si>
    <t>Functional; E2E; Negative; Boundary; Resilience; Content Validation</t>
  </si>
  <si>
    <t>Assumptions</t>
  </si>
  <si>
    <t>Public MagicBricks pages are accessible; no login, OTP, CAPTCHA, or lead submission is required.</t>
  </si>
  <si>
    <t>Constraints</t>
  </si>
  <si>
    <t>Buy vs Rent is tracked as unavailable unless a working route is provided; final lead creation and personal-data flows are out of scope.</t>
  </si>
  <si>
    <t>Entry Criteria</t>
  </si>
  <si>
    <t>Requirement analysis and test-design.json are approved and available.</t>
  </si>
  <si>
    <t>Exit Criteria</t>
  </si>
  <si>
    <t>All planned test cases have execution status recorded and RTM links resolve.</t>
  </si>
  <si>
    <t>Automation Scope</t>
  </si>
  <si>
    <t>Automation Candidate values are copied from the approved test design for future selection only.</t>
  </si>
  <si>
    <t>Total Test Cases</t>
  </si>
  <si>
    <t>EP-001: Market Research and Locality Comparison - Help a buyer compare candidate localities or projects using MB Advice before deciding where to search or buy. | Requirements: REQ-005; REQ-006; REQ-007; REQ-008; REQ-009; REQ-010; REQ-011; REQ-012; REQ-013; REQ-014</t>
  </si>
  <si>
    <t>US-001: As a buyer, I want to explore an area and review market guidance so that I can decide whether it is worth deeper comparison. | Epic: EP-001 | Requirements: REQ-005; REQ-006; REQ-012; REQ-013 | Acceptance: MB Advice loads from the accessible advice URL. / Explore Locality, Rates &amp; Trends, and Tips sections are visible. / The user can identify market signals and guidance links without login.</t>
  </si>
  <si>
    <t>US-002: As a buyer, I want to compare two localities or projects so that I can choose a better-fit property search area. | Epic: EP-001 | Requirements: REQ-007; REQ-008; REQ-009; REQ-010; REQ-011 | Acceptance: The user can choose Localities or Projects comparison mode. / The user can enter or select two comparison entities. / A comparison result shows meaningful market and quality signals. / The user can continue from comparison to relevant property listings.</t>
  </si>
  <si>
    <t>EP-002: Property Valuation Decision Support - Help a buyer or seller estimate property value and understand the evidence behind the estimate through PropWorth. | Requirements: REQ-015; REQ-016; REQ-017; REQ-018</t>
  </si>
  <si>
    <t>US-003: As a buyer or seller, I want to estimate a property's market value so that I can make a better pricing or purchase decision. | Epic: EP-002 | Requirements: REQ-015; REQ-016; REQ-017; REQ-018 | Acceptance: PropWorth loads for a city context. / Project or locality input is available with a Get Estimate action. / The page explains data sources, accuracy, and valuation limitations.</t>
  </si>
  <si>
    <t>EP-003: Home Loan Affordability and Eligibility - Help a buyer review loan amount, bank offers, and eligibility/application paths before continuing toward financing support. | Requirements: REQ-001; REQ-002; REQ-003; REQ-004</t>
  </si>
  <si>
    <t>US-004: As a buyer, I want to review home loan amount, rates, and eligibility support so that I can understand financing feasibility. | Epic: EP-003 | Requirements: REQ-001; REQ-002; REQ-003; REQ-004 | Acceptance: Home Loan page loads with low-rate and bank offer messaging. / Loan amount context is visible and adjustable. / Eligibility or application support path is discoverable. / Low repayment capacity is handled without stale or misleading results.</t>
  </si>
  <si>
    <t>EP-004: Cross-Module Buyer Decision Journey - Validate the complete business journey from market research to valuation to financing readiness. | Requirements: REQ-019</t>
  </si>
  <si>
    <t>US-005: As a buyer, I want to connect locality research, property valuation, and financing review so that I can make a complete purchase-readiness decision. | Epic: EP-004 | Requirements: REQ-019 | Acceptance: The user can complete the research, valuation, and financing review using accessible pages. / Each stage provides visible information that supports the next decision. / Unavailable features such as Buy vs Rent are not treated as successful flows.</t>
  </si>
  <si>
    <t>TS-001</t>
  </si>
  <si>
    <t>REQ-005; REQ-006; REQ-012; REQ-013</t>
  </si>
  <si>
    <t>Explore MB Advice landing content for buyer research - Verify that a buyer can access MB Advice and discover locality research, trends, and guidance content.</t>
  </si>
  <si>
    <t>Positive E2E</t>
  </si>
  <si>
    <t>TC-001: Open MB Advice and verify buyer research sections</t>
  </si>
  <si>
    <t>TS-002</t>
  </si>
  <si>
    <t>REQ-007; REQ-008; REQ-009; REQ-010; REQ-011</t>
  </si>
  <si>
    <t>Compare localities and continue toward property listings - Verify that a buyer can use a popular or entered comparison and act on the comparison results.</t>
  </si>
  <si>
    <t>TC-002: Open a popular locality comparison and verify decision signals_x000D_
TC-003: Continue from locality comparison to matching property listings_x000D_
TC-004: Switch between Localities and Projects comparison modes</t>
  </si>
  <si>
    <t>TS-003</t>
  </si>
  <si>
    <t>REQ-001; REQ-002; REQ-003; REQ-004</t>
  </si>
  <si>
    <t>Assess home loan offers and repayment capacity - Verify that Home Loan content, loan amount context, and eligibility handling support financing decisions.</t>
  </si>
  <si>
    <t>Positive, Negative, Boundary</t>
  </si>
  <si>
    <t>TC-07: Verify Home Loan Eligibility Calculator handles high existing EMI_x000D_
TC-008: Review Home Loan landing page loan amount and bank offer messaging</t>
  </si>
  <si>
    <t>TS-004</t>
  </si>
  <si>
    <t>REQ-015; REQ-016; REQ-017; REQ-018</t>
  </si>
  <si>
    <t>Request property valuation and review data confidence - Verify that PropWorth supports project/locality valuation entry and explains how estimates are generated.</t>
  </si>
  <si>
    <t>TC-005: Open PropWorth and verify valuation entry and trust signals_x000D_
TC-011: Verify PropWorth transaction-price and valuation rationale content</t>
  </si>
  <si>
    <t>TS-005</t>
  </si>
  <si>
    <t>REQ-016; REQ-017</t>
  </si>
  <si>
    <t>Handle missing or insufficient valuation input - Verify that valuation actions do not proceed silently when the user has not provided a meaningful project or locality.</t>
  </si>
  <si>
    <t>Negative</t>
  </si>
  <si>
    <t>TC-006: Attempt PropWorth estimate without project or locality input</t>
  </si>
  <si>
    <t>TS-006</t>
  </si>
  <si>
    <t>REQ-010; REQ-011; REQ-012</t>
  </si>
  <si>
    <t>Handle partial or unavailable comparison metrics - Verify that comparison pages remain usable when some locality metrics display N/A or are unavailable.</t>
  </si>
  <si>
    <t>Boundary</t>
  </si>
  <si>
    <t>TC-009: Verify comparison page remains useful when a metric is unavailable</t>
  </si>
  <si>
    <t>TS-007</t>
  </si>
  <si>
    <t>REQ-014</t>
  </si>
  <si>
    <t>Track Buy vs Rent availability limitation - Verify that the requested Buy vs Rent feature is treated as unavailable unless a working user path exists.</t>
  </si>
  <si>
    <t>Negative Availability</t>
  </si>
  <si>
    <t>TC-010: Verify Buy vs Rent is not treated as a confirmed working feature when no accessible path exists</t>
  </si>
  <si>
    <t>TS-008</t>
  </si>
  <si>
    <t>REQ-019</t>
  </si>
  <si>
    <t>Complete buyer decision-support journey across modules - Verify that a buyer can research, value, and finance a property decision using the accessible MagicBricks modules.</t>
  </si>
  <si>
    <t>End-to-End Business Journey</t>
  </si>
  <si>
    <t>TC-012: Complete buyer decision-support journey from comparison to valuation to financing review</t>
  </si>
  <si>
    <t>Automation Candidate</t>
  </si>
  <si>
    <t>TC-001</t>
  </si>
  <si>
    <t>Tester has internet access and can open MagicBricks without logging in.</t>
  </si>
  <si>
    <t>Accessible Advice route is used directly or reached through site navigation.</t>
  </si>
  <si>
    <t>Open https://www.magicbricks.com/advice/._x000D_
Verify the page title or header indicates Property Advice or MB Advice content._x000D_
Verify Explore a Locality is visible with an Enter Locality field and Explore button._x000D_
Verify Compare Localities &amp; Projects section is visible._x000D_
Verify Rates &amp; Trends section shows market signals such as price growth, rental yield, demand, or supply._x000D_
Verify Tips cards such as Buying Tips, Return on investment, or Legal Advice are visible.</t>
  </si>
  <si>
    <t>{"url":"https://www.magicbricks.com/advice/"}</t>
  </si>
  <si>
    <t>MB Advice loads successfully and exposes locality exploration, comparison, rates/trends, and buyer guidance sections without requiring login.</t>
  </si>
  <si>
    <t>Not Run</t>
  </si>
  <si>
    <t>Priority: High; Type: Functional / E2E Discovery; Title: Open MB Advice and verify buyer research sections</t>
  </si>
  <si>
    <t>Yes</t>
  </si>
  <si>
    <t>TC-002</t>
  </si>
  <si>
    <t>MB Advice page is accessible and popular comparison links are visible.</t>
  </si>
  <si>
    <t>User selects an available popular locality comparison.</t>
  </si>
  <si>
    <t>Open https://www.magicbricks.com/advice/._x000D_
Locate the Compare Localities &amp; Projects section._x000D_
Open a popular comparison such as Mayur Vihar, New Delhi vs Dwarka, New Delhi._x000D_
Verify the comparison result page displays both locality names._x000D_
Verify locality rating, ranking, review count, and property price-band information are displayed where data is available._x000D_
Verify comparison categories such as Price Trends, Demand &amp; Supply, Annual Rental Yield, Location, or Reviews are available.</t>
  </si>
  <si>
    <t>{"comparison":"Mayur Vihar, New Delhi vs Dwarka, New Delhi","resultUrl":"https://www.magicbricks.com/advice/compare-Mayur-Vihar-in-New-Delhi-and-Dwarka-in-New-Delhi?from=home"}</t>
  </si>
  <si>
    <t>The comparison result page opens and presents side-by-side information that helps the buyer compare the two localities.</t>
  </si>
  <si>
    <t>Priority: High; Type: Functional / Positive E2E; Title: Open a popular locality comparison and verify decision signals</t>
  </si>
  <si>
    <t>REQ-007; REQ-008; REQ-009; REQ-010</t>
  </si>
  <si>
    <t>TC-003</t>
  </si>
  <si>
    <t>A locality comparison result page is open and property category price bands are visible.</t>
  </si>
  <si>
    <t>A See All link is available for a property category such as 1 BHK, 2 BHK, or 3 BHK flats.</t>
  </si>
  <si>
    <t>Open the locality comparison result page._x000D_
Find a property category section for either compared locality._x000D_
Click a See All link for an available property category._x000D_
Verify the destination is a MagicBricks property listing/search page._x000D_
Verify the destination reflects the selected locality, city, bedroom category, or budget range in the visible page or URL.</t>
  </si>
  <si>
    <t>{"locality":"Dwarka","city":"New Delhi","propertyCategory":"2 BHK Flats"}</t>
  </si>
  <si>
    <t>The user moves from comparison insight to a relevant property-listing path without losing locality and category context.</t>
  </si>
  <si>
    <t>Priority: High; Type: Functional / E2E Navigation; Title: Continue from locality comparison to matching property listings</t>
  </si>
  <si>
    <t>REQ-011</t>
  </si>
  <si>
    <t>TC-004</t>
  </si>
  <si>
    <t>MB Advice page is loaded.</t>
  </si>
  <si>
    <t>Both Localities and Projects radio options are visible in the Compare Localities &amp; Projects section.</t>
  </si>
  <si>
    <t>Open https://www.magicbricks.com/advice/._x000D_
Scroll to Compare Localities &amp; Projects._x000D_
Verify Localities is available as a comparison mode._x000D_
Select Projects comparison mode._x000D_
Verify the comparison inputs remain available and the user can understand that project comparison is selected._x000D_
Switch back to Localities and verify locality comparison remains available.</t>
  </si>
  <si>
    <t>{"modes":["Localities","Projects"]}</t>
  </si>
  <si>
    <t>The user can switch comparison mode between Localities and Projects, and the comparison entry area remains usable.</t>
  </si>
  <si>
    <t>Priority: Medium; Type: Functional / Alternate Path; Title: Switch between Localities and Projects comparison modes</t>
  </si>
  <si>
    <t>REQ-007; REQ-008</t>
  </si>
  <si>
    <t>TC-005</t>
  </si>
  <si>
    <t>Tester can open the PropWorth city page without logging in.</t>
  </si>
  <si>
    <t>PropWorth Bangalore page is used as the observed city context.</t>
  </si>
  <si>
    <t>Open https://www.magicbricks.com/propworth/bangalore._x000D_
Verify the heading indicates PropWorth in Bangalore._x000D_
Verify the question How much is my property worth? is visible._x000D_
Verify Enter Project/Locality input and Get Estimate action are visible._x000D_
Verify accuracy or data-confidence content is visible, such as PropWorth is about 98% accurate or data-model explanation.</t>
  </si>
  <si>
    <t>{"url":"https://www.magicbricks.com/propworth/bangalore"}</t>
  </si>
  <si>
    <t>PropWorth loads with a clear valuation input path and visible trust signals explaining estimate accuracy and data basis.</t>
  </si>
  <si>
    <t>Priority: High; Type: Functional / Positive E2E; Title: Open PropWorth and verify valuation entry and trust signals</t>
  </si>
  <si>
    <t>REQ-015; REQ-016; REQ-018</t>
  </si>
  <si>
    <t>TC-006</t>
  </si>
  <si>
    <t>PropWorth page is loaded and no project/locality value is entered.</t>
  </si>
  <si>
    <t>User triggers the estimate action with blank input.</t>
  </si>
  <si>
    <t>Open https://www.magicbricks.com/propworth/bangalore._x000D_
Leave the Enter Project/Locality input blank._x000D_
Click Get Estimate._x000D_
Observe whether the page blocks progress, highlights the field, shows a validation message, or keeps the user on the same page._x000D_
Verify no misleading valuation result is shown for blank input.</t>
  </si>
  <si>
    <t>{"projectOrLocality":""}</t>
  </si>
  <si>
    <t>The system should prevent or safely handle blank valuation input and should not show a fabricated or stale property estimate.</t>
  </si>
  <si>
    <t>Priority: High; Type: Negative / Validation; Title: Attempt PropWorth estimate without project or locality input</t>
  </si>
  <si>
    <t>Home Loan Eligibility Calculator is accessible and a previous eligibility value, if any, can be distinguished from the recalculated result.</t>
  </si>
  <si>
    <t>Valid income is entered with a very high ongoing EMI while all other required details remain valid.</t>
  </si>
  <si>
    <t>Open the Home Loan Eligibility Calculator from the Home Loan module._x000D_
Enter valid monthly income._x000D_
Enter a high ongoing EMI amount._x000D_
Keep all other required details valid._x000D_
Click Calculate or the equivalent eligibility action._x000D_
Observe the eligibility amount and any validation or warning message.</t>
  </si>
  <si>
    <t>{"monthlyIncome":"Rs 1,00,000","ongoingEmi":"Rs 90,000","otherDetails":"Valid values for all required fields"}</t>
  </si>
  <si>
    <t>Eligibility should reduce, show a suitable validation or warning about low repayment capacity, or otherwise handle the high ongoing EMI without crashing. The previous eligibility value must not remain displayed as if it were the new result.</t>
  </si>
  <si>
    <t>Priority: High; Type: Negative / Boundary / Functional Validation; Title: Verify Home Loan Eligibility Calculator handles high existing EMI</t>
  </si>
  <si>
    <t>REQ-004; TEMPLATE-RQ-03</t>
  </si>
  <si>
    <t>TC-008</t>
  </si>
  <si>
    <t>Tester can access the Home Loan page without login.</t>
  </si>
  <si>
    <t>Home Loan page is loaded from the direct route or site navigation.</t>
  </si>
  <si>
    <t>Open https://www.magicbricks.com/homeloan/home._x000D_
Verify the page heading or title communicates home loan availability at low rates._x000D_
Verify a loan amount value and slider-style amount control are visible._x000D_
Verify bank offer messaging such as 40+ banks, rate starting information, processing-fee message, or 1:1 support is visible._x000D_
Verify the user can identify an eligibility, apply, or expert-support continuation path.</t>
  </si>
  <si>
    <t>{"url":"https://www.magicbricks.com/homeloan/home","sampleVisibleAmount":"Rs 60 Lakh"}</t>
  </si>
  <si>
    <t>The Home Loan landing page provides enough visible information for a buyer to understand financing options and continue toward eligibility or application support.</t>
  </si>
  <si>
    <t>Priority: High; Type: Functional / Positive E2E; Title: Review Home Loan landing page loan amount and bank offer messaging</t>
  </si>
  <si>
    <t>REQ-001; REQ-002; REQ-003</t>
  </si>
  <si>
    <t>TC-009</t>
  </si>
  <si>
    <t>A comparison result page is available where one locality may show N/A for one or more metrics.</t>
  </si>
  <si>
    <t>User reviews a comparison result with partial data.</t>
  </si>
  <si>
    <t>Open the Mayur Vihar vs Dwarka comparison result page._x000D_
Identify any section where a metric displays N/A or is missing for one locality._x000D_
Verify the page still displays other decision signals such as rating, ranking, review count, price bands, average rate, or trend categories._x000D_
Verify the user can still access onward actions such as See All or detailed ratings where available.</t>
  </si>
  <si>
    <t>{"comparison":"Mayur Vihar vs Dwarka","partialMetricExample":"N/A"}</t>
  </si>
  <si>
    <t>The comparison page remains readable and actionable even when some metrics are unavailable; unavailable data is represented clearly and does not break the journey.</t>
  </si>
  <si>
    <t>Priority: Medium; Type: Boundary / Resilience; Title: Verify comparison page remains useful when a metric is unavailable</t>
  </si>
  <si>
    <t>REQ-010; REQ-012</t>
  </si>
  <si>
    <t>TC-010</t>
  </si>
  <si>
    <t>Tester has the current requirement analysis and access to MagicBricks public pages.</t>
  </si>
  <si>
    <t>User attempts to locate Buy vs Rent through MB Advice or direct known route attempts.</t>
  </si>
  <si>
    <t>Open https://www.magicbricks.com/advice/._x000D_
Search visible Advice sections for a Buy vs Rent entry point._x000D_
Attempt the documented direct Buy vs Rent route only if it is part of the test environment's allowed URL list._x000D_
Record whether a working Buy vs Rent page loads or whether an error/unavailable page appears._x000D_
Do not mark Buy vs Rent as passed unless a working user journey is visible.</t>
  </si>
  <si>
    <t>{"adviceUrl":"https://www.magicbricks.com/advice/","knownUnavailableRoute":"https://www.magicbricks.com/buy-vs-rent"}</t>
  </si>
  <si>
    <t>If no working Buy vs Rent page or entry point is available, the feature remains a tracked limitation and is excluded from executable positive E2E automation scope.</t>
  </si>
  <si>
    <t>Priority: Medium; Type: Negative / Availability; Title: Verify Buy vs Rent is not treated as a confirmed working feature when no accessible path exists</t>
  </si>
  <si>
    <t>No</t>
  </si>
  <si>
    <t>TC-011</t>
  </si>
  <si>
    <t>PropWorth Bangalore page is loaded.</t>
  </si>
  <si>
    <t>User reviews secondary valuation information rather than entering personal data.</t>
  </si>
  <si>
    <t>Open https://www.magicbricks.com/propworth/bangalore._x000D_
Locate the Check property transaction prices in any Project section._x000D_
Verify the page states the transaction information is based on government registry records._x000D_
Review the PropWorth accuracy or explanation area._x000D_
Verify data ecosystem, data modeling, ML-driven accuracy, or coverage claims are visible.</t>
  </si>
  <si>
    <t>The user can understand that PropWorth valuation is presented as data-backed and model-supported rather than as an unsupported estimate.</t>
  </si>
  <si>
    <t>Priority: Medium; Type: Functional / Content Validation; Title: Verify PropWorth transaction-price and valuation rationale content</t>
  </si>
  <si>
    <t>REQ-017; REQ-018</t>
  </si>
  <si>
    <t>TC-012</t>
  </si>
  <si>
    <t>MagicBricks public pages for MB Advice, PropWorth, and Home Loan are accessible. No login or lead submission is required.</t>
  </si>
  <si>
    <t>User performs the complete decision-support journey using observable content and avoids unavailable Buy vs Rent or lead-submission flows.</t>
  </si>
  <si>
    <t>Open https://www.magicbricks.com/advice/._x000D_
Use a popular comparison such as Mayur Vihar vs Dwarka and review ratings, rankings, price bands, and market indicators._x000D_
Confirm onward property category links are available from the comparison result._x000D_
Open https://www.magicbricks.com/propworth/bangalore and verify property valuation input and confidence messaging._x000D_
Open https://www.magicbricks.com/homeloan/home and verify loan amount context, bank offer messaging, and eligibility/application path._x000D_
Confirm the combined journey gives the user market comparison, property value context, and financing readiness information.</t>
  </si>
  <si>
    <t>{"comparison":"Mayur Vihar, New Delhi vs Dwarka, New Delhi","propWorthCity":"Bangalore","homeLoanUrl":"https://www.magicbricks.com/homeloan/home"}</t>
  </si>
  <si>
    <t>The buyer can complete a coherent purchase-readiness journey across MB Advice comparison, PropWorth valuation, and Home Loan financing review without relying on unavailable features or personal lead submission.</t>
  </si>
  <si>
    <t>Priority: High; Type: End-to-End / Business Journey; Title: Complete buyer decision-support journey from comparison to valuation to financing review</t>
  </si>
  <si>
    <t>REQ-005</t>
  </si>
  <si>
    <t>REQ-006</t>
  </si>
  <si>
    <t>REQ-012</t>
  </si>
  <si>
    <t>REQ-013</t>
  </si>
  <si>
    <t>REQ-007</t>
  </si>
  <si>
    <t>REQ-008</t>
  </si>
  <si>
    <t>REQ-009</t>
  </si>
  <si>
    <t>REQ-010</t>
  </si>
  <si>
    <t>REQ-015</t>
  </si>
  <si>
    <t>REQ-016</t>
  </si>
  <si>
    <t>REQ-018</t>
  </si>
  <si>
    <t>REQ-017</t>
  </si>
  <si>
    <t>REQ-004</t>
  </si>
  <si>
    <t>TEMPLATE-RQ-03</t>
  </si>
  <si>
    <t>REQ-001</t>
  </si>
  <si>
    <t>REQ-002</t>
  </si>
  <si>
    <t>REQ-003</t>
  </si>
  <si>
    <t>Total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</si>
</sst>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theme="0"/>
      <name val="Calibri"/>
      <family val="2"/>
      <charset val="1"/>
    </font>
    <font>
      <sz val="11"/>
      <color rgb="FF000000"/>
      <name val="Calibri"/>
      <family val="2"/>
      <charset val="1"/>
    </font>
    <font>
      <b/>
      <sz val="11"/>
      <color theme="1"/>
      <name val="Calibri"/>
      <family val="2"/>
      <charset val="1"/>
    </font>
    <font>
      <sz val="11"/>
      <color theme="1"/>
      <name val="Segoe UI"/>
      <family val="2"/>
      <charset val="1"/>
    </font>
    <font>
      <sz val="11"/>
      <color rgb="FF000000"/>
      <name val="Segoe UI"/>
      <charset val="1"/>
    </font>
    <font>
      <b/>
      <sz val="11"/>
      <color theme="1"/>
      <name val="Calibri"/>
      <family val="2"/>
    </font>
    <font>
      <b/>
      <sz val="16"/>
      <color theme="1"/>
      <name val="Calibri"/>
      <family val="2"/>
    </font>
  </fonts>
  <fills count="17">
    <fill>
      <patternFill patternType="none"/>
    </fill>
    <fill>
      <patternFill patternType="gray125"/>
    </fill>
    <fill>
      <patternFill patternType="solid">
        <fgColor theme="3"/>
        <bgColor rgb="FF17375E"/>
      </patternFill>
    </fill>
    <fill>
      <patternFill patternType="solid">
        <fgColor theme="4" tint="0.39988402966399123"/>
        <bgColor rgb="FFB9CDE5"/>
      </patternFill>
    </fill>
    <fill>
      <patternFill patternType="solid">
        <fgColor rgb="FFFF7C80"/>
        <bgColor rgb="FFFF99CC"/>
      </patternFill>
    </fill>
    <fill>
      <patternFill patternType="solid">
        <fgColor theme="4" tint="0.59987182226020086"/>
        <bgColor rgb="FFD9D9D9"/>
      </patternFill>
    </fill>
    <fill>
      <patternFill patternType="solid">
        <fgColor theme="0"/>
        <bgColor rgb="FFCCFFFF"/>
      </patternFill>
    </fill>
    <fill>
      <patternFill patternType="solid">
        <fgColor rgb="FFFFFF99"/>
        <bgColor rgb="FFFFEB9C"/>
      </patternFill>
    </fill>
    <fill>
      <patternFill patternType="solid">
        <fgColor theme="6" tint="0.39988402966399123"/>
        <bgColor rgb="FFD9D9D9"/>
      </patternFill>
    </fill>
    <fill>
      <patternFill patternType="solid">
        <fgColor rgb="FF5B9BD5"/>
        <bgColor rgb="FF558ED5"/>
      </patternFill>
    </fill>
    <fill>
      <patternFill patternType="solid">
        <fgColor theme="3" tint="0.39988402966399123"/>
        <bgColor rgb="FF5B9BD5"/>
      </patternFill>
    </fill>
    <fill>
      <patternFill patternType="solid">
        <fgColor rgb="FFADDD95"/>
        <bgColor rgb="FFD9D9D9"/>
      </patternFill>
    </fill>
    <fill>
      <patternFill patternType="solid">
        <fgColor rgb="FFADDD95"/>
        <bgColor rgb="FFC6EFCE"/>
      </patternFill>
    </fill>
    <fill>
      <patternFill patternType="solid">
        <fgColor rgb="FFADDD95"/>
        <bgColor rgb="FFFFEB9C"/>
      </patternFill>
    </fill>
    <fill>
      <patternFill patternType="solid">
        <fgColor rgb="FFADDD95"/>
        <bgColor indexed="64"/>
      </patternFill>
    </fill>
    <fill>
      <patternFill patternType="solid">
        <fgColor indexed="22"/>
        <bgColor indexed="64"/>
      </patternFill>
    </fill>
    <fill>
      <patternFill patternType="solid">
        <fgColor indexed="22"/>
        <bgColor rgb="FF5B9BD5"/>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medium">
        <color rgb="FF808080"/>
      </left>
      <right style="medium">
        <color rgb="FF808080"/>
      </right>
      <top style="medium">
        <color rgb="FF808080"/>
      </top>
      <bottom style="medium">
        <color rgb="FF808080"/>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0" borderId="2" xfId="0" applyFont="1" applyBorder="1" applyAlignment="1">
      <alignment vertical="top" wrapText="1"/>
    </xf>
    <xf numFmtId="0" fontId="2" fillId="5" borderId="2" xfId="0" applyFont="1" applyFill="1" applyBorder="1" applyAlignment="1">
      <alignment vertical="top" wrapText="1"/>
    </xf>
    <xf numFmtId="0" fontId="2" fillId="8" borderId="2" xfId="0" applyFont="1" applyFill="1" applyBorder="1" applyAlignment="1">
      <alignment vertical="top"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vertical="center" wrapText="1"/>
    </xf>
    <xf numFmtId="0" fontId="0" fillId="8" borderId="3" xfId="0"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horizontal="left" vertical="center" wrapText="1"/>
    </xf>
    <xf numFmtId="0" fontId="5" fillId="0" borderId="4" xfId="0" applyFont="1" applyBorder="1" applyAlignment="1">
      <alignment horizontal="left" vertical="center" wrapText="1"/>
    </xf>
    <xf numFmtId="0" fontId="0" fillId="11" borderId="3" xfId="0" applyFill="1" applyBorder="1" applyAlignment="1">
      <alignment horizontal="center" vertical="center" wrapText="1"/>
    </xf>
    <xf numFmtId="0" fontId="0" fillId="12" borderId="3" xfId="0" applyFill="1" applyBorder="1" applyAlignment="1">
      <alignment horizontal="center" vertical="center" wrapText="1"/>
    </xf>
    <xf numFmtId="0" fontId="0" fillId="14" borderId="3" xfId="0" applyFill="1" applyBorder="1" applyAlignment="1">
      <alignment horizontal="center" vertical="center" wrapText="1"/>
    </xf>
    <xf numFmtId="0" fontId="7" fillId="16"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5" borderId="0" xfId="0" applyFont="1" applyFill="1" applyAlignment="1">
      <alignment wrapText="1"/>
    </xf>
    <xf numFmtId="0" fontId="0" fillId="0" borderId="0" xfId="0" applyAlignment="1">
      <alignment wrapText="1"/>
    </xf>
    <xf numFmtId="0" fontId="1" fillId="6" borderId="0" xfId="0" applyFont="1" applyFill="1" applyAlignment="1">
      <alignment wrapText="1"/>
    </xf>
    <xf numFmtId="0" fontId="0" fillId="6" borderId="0" xfId="0" applyFill="1" applyAlignment="1">
      <alignment wrapText="1"/>
    </xf>
    <xf numFmtId="0" fontId="0" fillId="7" borderId="3" xfId="0" applyFill="1" applyBorder="1" applyAlignment="1">
      <alignment horizontal="center" vertical="center" wrapText="1"/>
    </xf>
    <xf numFmtId="0" fontId="0" fillId="13" borderId="3" xfId="0" applyFill="1" applyBorder="1" applyAlignment="1">
      <alignment horizontal="center" vertical="center" wrapText="1"/>
    </xf>
    <xf numFmtId="0" fontId="6" fillId="0" borderId="0" xfId="0" applyFont="1" applyAlignment="1">
      <alignment horizontal="center" wrapText="1"/>
    </xf>
    <xf numFmtId="0" fontId="0" fillId="0" borderId="0" xfId="0" applyAlignment="1">
      <alignment horizontal="center" wrapText="1"/>
    </xf>
    <xf numFmtId="9" fontId="0" fillId="0" borderId="0" xfId="0" applyNumberFormat="1" applyAlignment="1">
      <alignment wrapText="1"/>
    </xf>
  </cellXfs>
  <cellStyles count="1">
    <cellStyle name="Normal" xfId="0" builtinId="0"/>
  </cellStyles>
  <dxfs count="3">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5B9BD5"/>
      <rgbColor rgb="FF993366"/>
      <rgbColor rgb="FFFFEB9C"/>
      <rgbColor rgb="FFD9D9D9"/>
      <rgbColor rgb="FF660066"/>
      <rgbColor rgb="FFFF7C80"/>
      <rgbColor rgb="FF0066CC"/>
      <rgbColor rgb="FFB9CDE5"/>
      <rgbColor rgb="FF000080"/>
      <rgbColor rgb="FFFF00FF"/>
      <rgbColor rgb="FFFFFF00"/>
      <rgbColor rgb="FF00FFFF"/>
      <rgbColor rgb="FF800080"/>
      <rgbColor rgb="FF800000"/>
      <rgbColor rgb="FF008080"/>
      <rgbColor rgb="FF0000FF"/>
      <rgbColor rgb="FF00CCFF"/>
      <rgbColor rgb="FFCCFFFF"/>
      <rgbColor rgb="FFC6EFCE"/>
      <rgbColor rgb="FFFFFF99"/>
      <rgbColor rgb="FF95B3D7"/>
      <rgbColor rgb="FFFF99CC"/>
      <rgbColor rgb="FFCC99FF"/>
      <rgbColor rgb="FFFFC7CE"/>
      <rgbColor rgb="FF3366FF"/>
      <rgbColor rgb="FF33CCCC"/>
      <rgbColor rgb="FF99CC00"/>
      <rgbColor rgb="FFFFC000"/>
      <rgbColor rgb="FFFF9900"/>
      <rgbColor rgb="FFFF6600"/>
      <rgbColor rgb="FF558ED5"/>
      <rgbColor rgb="FF969696"/>
      <rgbColor rgb="FF17375E"/>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mruColors>
      <color rgb="FFADDD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C401-6634-49AB-973D-7ECB787B09C6}">
  <dimension ref="A1:B15"/>
  <sheetViews>
    <sheetView tabSelected="1" workbookViewId="0"/>
  </sheetViews>
  <sheetFormatPr defaultRowHeight="14.5" x14ac:dyDescent="0.35"/>
  <cols>
    <col min="1" max="1" width="16.1796875" style="25" bestFit="1" customWidth="1"/>
    <col min="2" max="2" width="109" style="25" bestFit="1" customWidth="1"/>
    <col min="3" max="16384" width="8.7265625" style="25"/>
  </cols>
  <sheetData>
    <row r="1" spans="1:2" x14ac:dyDescent="0.35">
      <c r="A1" s="24" t="s">
        <v>45</v>
      </c>
      <c r="B1" s="24" t="s">
        <v>46</v>
      </c>
    </row>
    <row r="2" spans="1:2" x14ac:dyDescent="0.35">
      <c r="A2" s="25" t="s">
        <v>47</v>
      </c>
      <c r="B2" s="25" t="s">
        <v>48</v>
      </c>
    </row>
    <row r="3" spans="1:2" x14ac:dyDescent="0.35">
      <c r="A3" s="25" t="s">
        <v>49</v>
      </c>
      <c r="B3" s="25" t="s">
        <v>50</v>
      </c>
    </row>
    <row r="4" spans="1:2" x14ac:dyDescent="0.35">
      <c r="A4" s="25" t="s">
        <v>51</v>
      </c>
      <c r="B4" s="25" t="s">
        <v>52</v>
      </c>
    </row>
    <row r="5" spans="1:2" x14ac:dyDescent="0.35">
      <c r="A5" s="25" t="s">
        <v>53</v>
      </c>
      <c r="B5" s="25" t="s">
        <v>54</v>
      </c>
    </row>
    <row r="6" spans="1:2" x14ac:dyDescent="0.35">
      <c r="A6" s="25" t="s">
        <v>55</v>
      </c>
      <c r="B6" s="25" t="s">
        <v>56</v>
      </c>
    </row>
    <row r="7" spans="1:2" x14ac:dyDescent="0.35">
      <c r="A7" s="25" t="s">
        <v>57</v>
      </c>
      <c r="B7" s="25" t="s">
        <v>58</v>
      </c>
    </row>
    <row r="8" spans="1:2" x14ac:dyDescent="0.35">
      <c r="A8" s="25" t="s">
        <v>59</v>
      </c>
      <c r="B8" s="25" t="s">
        <v>60</v>
      </c>
    </row>
    <row r="9" spans="1:2" x14ac:dyDescent="0.35">
      <c r="A9" s="25" t="s">
        <v>61</v>
      </c>
      <c r="B9" s="25" t="s">
        <v>62</v>
      </c>
    </row>
    <row r="10" spans="1:2" x14ac:dyDescent="0.35">
      <c r="A10" s="25" t="s">
        <v>63</v>
      </c>
      <c r="B10" s="25" t="s">
        <v>64</v>
      </c>
    </row>
    <row r="11" spans="1:2" ht="29" x14ac:dyDescent="0.35">
      <c r="A11" s="25" t="s">
        <v>65</v>
      </c>
      <c r="B11" s="25" t="s">
        <v>66</v>
      </c>
    </row>
    <row r="12" spans="1:2" x14ac:dyDescent="0.35">
      <c r="A12" s="25" t="s">
        <v>67</v>
      </c>
      <c r="B12" s="25" t="s">
        <v>68</v>
      </c>
    </row>
    <row r="13" spans="1:2" x14ac:dyDescent="0.35">
      <c r="A13" s="25" t="s">
        <v>69</v>
      </c>
      <c r="B13" s="25" t="s">
        <v>70</v>
      </c>
    </row>
    <row r="14" spans="1:2" x14ac:dyDescent="0.35">
      <c r="A14" s="25" t="s">
        <v>71</v>
      </c>
      <c r="B14" s="25" t="s">
        <v>72</v>
      </c>
    </row>
    <row r="15" spans="1:2" x14ac:dyDescent="0.35">
      <c r="A15" s="25" t="s">
        <v>73</v>
      </c>
      <c r="B15" s="25">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3"/>
  <sheetViews>
    <sheetView zoomScaleNormal="100" workbookViewId="0">
      <pane ySplit="1" topLeftCell="A2" activePane="bottomLeft" state="frozen"/>
      <selection pane="bottomLeft" activeCell="A10" sqref="A10:C10"/>
    </sheetView>
  </sheetViews>
  <sheetFormatPr defaultColWidth="8.7265625" defaultRowHeight="14.5" x14ac:dyDescent="0.35"/>
  <cols>
    <col min="1" max="1" width="9.54296875" style="25" bestFit="1" customWidth="1"/>
    <col min="2" max="2" width="255.6328125" style="25" bestFit="1" customWidth="1"/>
    <col min="3" max="3" width="7" style="25" bestFit="1" customWidth="1"/>
    <col min="4" max="16384" width="8.7265625" style="25"/>
  </cols>
  <sheetData>
    <row r="1" spans="1:6" x14ac:dyDescent="0.35">
      <c r="A1" s="1" t="s">
        <v>0</v>
      </c>
      <c r="B1" s="1" t="s">
        <v>1</v>
      </c>
      <c r="C1" s="1" t="s">
        <v>2</v>
      </c>
    </row>
    <row r="2" spans="1:6" x14ac:dyDescent="0.35">
      <c r="A2" s="2" t="s">
        <v>3</v>
      </c>
      <c r="B2" s="2" t="s">
        <v>74</v>
      </c>
      <c r="C2" s="3" t="s">
        <v>4</v>
      </c>
    </row>
    <row r="3" spans="1:6" ht="29" x14ac:dyDescent="0.35">
      <c r="A3" s="2" t="s">
        <v>5</v>
      </c>
      <c r="B3" s="2" t="s">
        <v>75</v>
      </c>
      <c r="C3" s="3" t="s">
        <v>4</v>
      </c>
    </row>
    <row r="4" spans="1:6" ht="29" x14ac:dyDescent="0.35">
      <c r="A4" s="2" t="s">
        <v>5</v>
      </c>
      <c r="B4" s="2" t="s">
        <v>76</v>
      </c>
      <c r="C4" s="3" t="s">
        <v>4</v>
      </c>
    </row>
    <row r="5" spans="1:6" x14ac:dyDescent="0.35">
      <c r="A5" s="2" t="s">
        <v>3</v>
      </c>
      <c r="B5" s="2" t="s">
        <v>77</v>
      </c>
      <c r="C5" s="3" t="s">
        <v>4</v>
      </c>
    </row>
    <row r="6" spans="1:6" ht="29" x14ac:dyDescent="0.35">
      <c r="A6" s="2" t="s">
        <v>5</v>
      </c>
      <c r="B6" s="2" t="s">
        <v>78</v>
      </c>
      <c r="C6" s="3" t="s">
        <v>4</v>
      </c>
    </row>
    <row r="7" spans="1:6" x14ac:dyDescent="0.35">
      <c r="A7" s="2" t="s">
        <v>3</v>
      </c>
      <c r="B7" s="2" t="s">
        <v>79</v>
      </c>
      <c r="C7" s="3" t="s">
        <v>4</v>
      </c>
      <c r="F7" s="26"/>
    </row>
    <row r="8" spans="1:6" ht="29" x14ac:dyDescent="0.35">
      <c r="A8" s="2" t="s">
        <v>5</v>
      </c>
      <c r="B8" s="2" t="s">
        <v>80</v>
      </c>
      <c r="C8" s="3" t="s">
        <v>4</v>
      </c>
    </row>
    <row r="9" spans="1:6" x14ac:dyDescent="0.35">
      <c r="A9" s="2" t="s">
        <v>3</v>
      </c>
      <c r="B9" s="2" t="s">
        <v>81</v>
      </c>
      <c r="C9" s="3" t="s">
        <v>4</v>
      </c>
    </row>
    <row r="10" spans="1:6" ht="29" x14ac:dyDescent="0.35">
      <c r="A10" s="2" t="s">
        <v>5</v>
      </c>
      <c r="B10" s="2" t="s">
        <v>82</v>
      </c>
      <c r="C10" s="3" t="s">
        <v>4</v>
      </c>
    </row>
    <row r="11" spans="1:6" x14ac:dyDescent="0.35">
      <c r="A11" s="5"/>
      <c r="B11" s="5"/>
      <c r="C11" s="6"/>
    </row>
    <row r="12" spans="1:6" x14ac:dyDescent="0.35">
      <c r="A12" s="4"/>
      <c r="B12" s="4"/>
      <c r="C12" s="6"/>
    </row>
    <row r="13" spans="1:6" x14ac:dyDescent="0.35">
      <c r="A13" s="5"/>
      <c r="B13" s="5"/>
      <c r="C13" s="3"/>
    </row>
    <row r="14" spans="1:6" x14ac:dyDescent="0.35">
      <c r="A14" s="4"/>
      <c r="B14" s="4"/>
      <c r="C14" s="3"/>
    </row>
    <row r="18" spans="2:4" x14ac:dyDescent="0.35">
      <c r="D18" s="27"/>
    </row>
    <row r="19" spans="2:4" x14ac:dyDescent="0.35">
      <c r="B19" s="27"/>
    </row>
    <row r="23" spans="2:4" x14ac:dyDescent="0.35">
      <c r="B23" s="27"/>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9"/>
  <sheetViews>
    <sheetView zoomScaleNormal="100" workbookViewId="0">
      <pane ySplit="1" topLeftCell="A2" activePane="bottomLeft" state="frozen"/>
      <selection pane="bottomLeft" activeCell="A9" sqref="A9:F9"/>
    </sheetView>
  </sheetViews>
  <sheetFormatPr defaultColWidth="8.7265625" defaultRowHeight="14.5" x14ac:dyDescent="0.35"/>
  <cols>
    <col min="1" max="1" width="17.90625" style="25" bestFit="1" customWidth="1"/>
    <col min="2" max="2" width="40.90625" style="25" bestFit="1" customWidth="1"/>
    <col min="3" max="3" width="147.1796875" style="25" bestFit="1" customWidth="1"/>
    <col min="4" max="4" width="25.1796875" style="25" bestFit="1" customWidth="1"/>
    <col min="5" max="5" width="17.81640625" style="25" bestFit="1" customWidth="1"/>
    <col min="6" max="6" width="87.81640625" style="25" bestFit="1" customWidth="1"/>
    <col min="7" max="16384" width="8.7265625" style="25"/>
  </cols>
  <sheetData>
    <row r="1" spans="1:6" ht="29" x14ac:dyDescent="0.35">
      <c r="A1" s="7" t="s">
        <v>6</v>
      </c>
      <c r="B1" s="7" t="s">
        <v>7</v>
      </c>
      <c r="C1" s="7" t="s">
        <v>8</v>
      </c>
      <c r="D1" s="7" t="s">
        <v>9</v>
      </c>
      <c r="E1" s="8" t="s">
        <v>10</v>
      </c>
      <c r="F1" s="8" t="s">
        <v>11</v>
      </c>
    </row>
    <row r="2" spans="1:6" x14ac:dyDescent="0.35">
      <c r="A2" s="9" t="s">
        <v>83</v>
      </c>
      <c r="B2" s="9" t="s">
        <v>84</v>
      </c>
      <c r="C2" s="9" t="s">
        <v>85</v>
      </c>
      <c r="D2" s="9" t="s">
        <v>86</v>
      </c>
      <c r="E2" s="9">
        <v>1</v>
      </c>
      <c r="F2" s="10" t="s">
        <v>87</v>
      </c>
    </row>
    <row r="3" spans="1:6" ht="43.5" x14ac:dyDescent="0.35">
      <c r="A3" s="9" t="s">
        <v>88</v>
      </c>
      <c r="B3" s="9" t="s">
        <v>89</v>
      </c>
      <c r="C3" s="9" t="s">
        <v>90</v>
      </c>
      <c r="D3" s="9" t="s">
        <v>86</v>
      </c>
      <c r="E3" s="9">
        <v>3</v>
      </c>
      <c r="F3" s="10" t="s">
        <v>91</v>
      </c>
    </row>
    <row r="4" spans="1:6" ht="29" x14ac:dyDescent="0.35">
      <c r="A4" s="9" t="s">
        <v>92</v>
      </c>
      <c r="B4" s="9" t="s">
        <v>93</v>
      </c>
      <c r="C4" s="9" t="s">
        <v>94</v>
      </c>
      <c r="D4" s="9" t="s">
        <v>95</v>
      </c>
      <c r="E4" s="9">
        <v>2</v>
      </c>
      <c r="F4" s="10" t="s">
        <v>96</v>
      </c>
    </row>
    <row r="5" spans="1:6" ht="29" x14ac:dyDescent="0.35">
      <c r="A5" s="9" t="s">
        <v>97</v>
      </c>
      <c r="B5" s="9" t="s">
        <v>98</v>
      </c>
      <c r="C5" s="9" t="s">
        <v>99</v>
      </c>
      <c r="D5" s="9" t="s">
        <v>86</v>
      </c>
      <c r="E5" s="9">
        <v>2</v>
      </c>
      <c r="F5" s="10" t="s">
        <v>100</v>
      </c>
    </row>
    <row r="6" spans="1:6" x14ac:dyDescent="0.35">
      <c r="A6" s="9" t="s">
        <v>101</v>
      </c>
      <c r="B6" s="9" t="s">
        <v>102</v>
      </c>
      <c r="C6" s="9" t="s">
        <v>103</v>
      </c>
      <c r="D6" s="9" t="s">
        <v>104</v>
      </c>
      <c r="E6" s="9">
        <v>1</v>
      </c>
      <c r="F6" s="10" t="s">
        <v>105</v>
      </c>
    </row>
    <row r="7" spans="1:6" x14ac:dyDescent="0.35">
      <c r="A7" s="9" t="s">
        <v>106</v>
      </c>
      <c r="B7" s="9" t="s">
        <v>107</v>
      </c>
      <c r="C7" s="9" t="s">
        <v>108</v>
      </c>
      <c r="D7" s="9" t="s">
        <v>109</v>
      </c>
      <c r="E7" s="9">
        <v>1</v>
      </c>
      <c r="F7" s="10" t="s">
        <v>110</v>
      </c>
    </row>
    <row r="8" spans="1:6" x14ac:dyDescent="0.35">
      <c r="A8" s="9" t="s">
        <v>111</v>
      </c>
      <c r="B8" s="9" t="s">
        <v>112</v>
      </c>
      <c r="C8" s="9" t="s">
        <v>113</v>
      </c>
      <c r="D8" s="9" t="s">
        <v>114</v>
      </c>
      <c r="E8" s="9">
        <v>1</v>
      </c>
      <c r="F8" s="10" t="s">
        <v>115</v>
      </c>
    </row>
    <row r="9" spans="1:6" x14ac:dyDescent="0.35">
      <c r="A9" s="9" t="s">
        <v>116</v>
      </c>
      <c r="B9" s="9" t="s">
        <v>117</v>
      </c>
      <c r="C9" s="9" t="s">
        <v>118</v>
      </c>
      <c r="D9" s="9" t="s">
        <v>119</v>
      </c>
      <c r="E9" s="9">
        <v>1</v>
      </c>
      <c r="F9" s="10" t="s">
        <v>120</v>
      </c>
    </row>
  </sheetData>
  <autoFilter ref="A1:F9"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6"/>
  <sheetViews>
    <sheetView zoomScale="58" zoomScaleNormal="55" workbookViewId="0">
      <pane ySplit="1" topLeftCell="A11" activePane="bottomLeft" state="frozen"/>
      <selection activeCell="G1" sqref="G1"/>
      <selection pane="bottomLeft" activeCell="A13" sqref="A13:L13"/>
    </sheetView>
  </sheetViews>
  <sheetFormatPr defaultColWidth="8.7265625" defaultRowHeight="14.5" x14ac:dyDescent="0.35"/>
  <cols>
    <col min="1" max="1" width="24.36328125" style="25" bestFit="1" customWidth="1"/>
    <col min="2" max="2" width="25.90625" style="25" bestFit="1" customWidth="1"/>
    <col min="3" max="3" width="32" style="25" customWidth="1"/>
    <col min="4" max="4" width="37.90625" style="25" bestFit="1" customWidth="1"/>
    <col min="5" max="5" width="125.81640625" style="25" bestFit="1" customWidth="1"/>
    <col min="6" max="6" width="41.90625" style="25" bestFit="1" customWidth="1"/>
    <col min="7" max="7" width="61.81640625" style="25" bestFit="1" customWidth="1"/>
    <col min="8" max="8" width="40.1796875" style="25" bestFit="1" customWidth="1"/>
    <col min="9" max="9" width="31.08984375" style="25" bestFit="1" customWidth="1"/>
    <col min="10" max="10" width="41.81640625" style="25" customWidth="1"/>
    <col min="11" max="11" width="27.81640625" style="25" bestFit="1" customWidth="1"/>
    <col min="12" max="12" width="11.1796875" style="25" bestFit="1" customWidth="1"/>
    <col min="13" max="16384" width="8.7265625" style="25"/>
  </cols>
  <sheetData>
    <row r="1" spans="1:12" ht="29" x14ac:dyDescent="0.35">
      <c r="A1" s="22" t="s">
        <v>12</v>
      </c>
      <c r="B1" s="22" t="s">
        <v>13</v>
      </c>
      <c r="C1" s="22" t="s">
        <v>14</v>
      </c>
      <c r="D1" s="22" t="s">
        <v>15</v>
      </c>
      <c r="E1" s="22" t="s">
        <v>16</v>
      </c>
      <c r="F1" s="22" t="s">
        <v>17</v>
      </c>
      <c r="G1" s="22" t="s">
        <v>18</v>
      </c>
      <c r="H1" s="22" t="s">
        <v>19</v>
      </c>
      <c r="I1" s="22" t="s">
        <v>20</v>
      </c>
      <c r="J1" s="22" t="s">
        <v>21</v>
      </c>
      <c r="K1" s="22" t="s">
        <v>22</v>
      </c>
      <c r="L1" s="24" t="s">
        <v>121</v>
      </c>
    </row>
    <row r="2" spans="1:12" ht="87" x14ac:dyDescent="0.35">
      <c r="A2" s="11" t="s">
        <v>122</v>
      </c>
      <c r="B2" s="11" t="s">
        <v>83</v>
      </c>
      <c r="C2" s="12" t="s">
        <v>123</v>
      </c>
      <c r="D2" s="12" t="s">
        <v>124</v>
      </c>
      <c r="E2" s="12" t="s">
        <v>125</v>
      </c>
      <c r="F2" s="12" t="s">
        <v>126</v>
      </c>
      <c r="G2" s="13" t="s">
        <v>127</v>
      </c>
      <c r="H2" s="13"/>
      <c r="I2" s="19" t="s">
        <v>128</v>
      </c>
      <c r="J2" s="12" t="s">
        <v>129</v>
      </c>
      <c r="K2" s="11" t="s">
        <v>84</v>
      </c>
      <c r="L2" s="25" t="s">
        <v>130</v>
      </c>
    </row>
    <row r="3" spans="1:12" ht="87" x14ac:dyDescent="0.35">
      <c r="A3" s="11" t="s">
        <v>131</v>
      </c>
      <c r="B3" s="11" t="s">
        <v>88</v>
      </c>
      <c r="C3" s="12" t="s">
        <v>132</v>
      </c>
      <c r="D3" s="12" t="s">
        <v>133</v>
      </c>
      <c r="E3" s="12" t="s">
        <v>134</v>
      </c>
      <c r="F3" s="12" t="s">
        <v>135</v>
      </c>
      <c r="G3" s="13" t="s">
        <v>136</v>
      </c>
      <c r="H3" s="13"/>
      <c r="I3" s="19" t="s">
        <v>128</v>
      </c>
      <c r="J3" s="12" t="s">
        <v>137</v>
      </c>
      <c r="K3" s="11" t="s">
        <v>138</v>
      </c>
      <c r="L3" s="25" t="s">
        <v>130</v>
      </c>
    </row>
    <row r="4" spans="1:12" ht="72.5" x14ac:dyDescent="0.35">
      <c r="A4" s="11" t="s">
        <v>139</v>
      </c>
      <c r="B4" s="11" t="s">
        <v>88</v>
      </c>
      <c r="C4" s="12" t="s">
        <v>140</v>
      </c>
      <c r="D4" s="12" t="s">
        <v>141</v>
      </c>
      <c r="E4" s="12" t="s">
        <v>142</v>
      </c>
      <c r="F4" s="12" t="s">
        <v>143</v>
      </c>
      <c r="G4" s="13" t="s">
        <v>144</v>
      </c>
      <c r="H4" s="13"/>
      <c r="I4" s="19" t="s">
        <v>128</v>
      </c>
      <c r="J4" s="12" t="s">
        <v>145</v>
      </c>
      <c r="K4" s="11" t="s">
        <v>146</v>
      </c>
      <c r="L4" s="25" t="s">
        <v>130</v>
      </c>
    </row>
    <row r="5" spans="1:12" ht="87" x14ac:dyDescent="0.35">
      <c r="A5" s="11" t="s">
        <v>147</v>
      </c>
      <c r="B5" s="11" t="s">
        <v>88</v>
      </c>
      <c r="C5" s="12" t="s">
        <v>148</v>
      </c>
      <c r="D5" s="12" t="s">
        <v>149</v>
      </c>
      <c r="E5" s="12" t="s">
        <v>150</v>
      </c>
      <c r="F5" s="12" t="s">
        <v>151</v>
      </c>
      <c r="G5" s="13" t="s">
        <v>152</v>
      </c>
      <c r="H5" s="13"/>
      <c r="I5" s="19" t="s">
        <v>128</v>
      </c>
      <c r="J5" s="12" t="s">
        <v>153</v>
      </c>
      <c r="K5" s="11" t="s">
        <v>154</v>
      </c>
      <c r="L5" s="25" t="s">
        <v>130</v>
      </c>
    </row>
    <row r="6" spans="1:12" ht="72.5" x14ac:dyDescent="0.35">
      <c r="A6" s="11" t="s">
        <v>155</v>
      </c>
      <c r="B6" s="11" t="s">
        <v>97</v>
      </c>
      <c r="C6" s="12" t="s">
        <v>156</v>
      </c>
      <c r="D6" s="12" t="s">
        <v>157</v>
      </c>
      <c r="E6" s="12" t="s">
        <v>158</v>
      </c>
      <c r="F6" s="12" t="s">
        <v>159</v>
      </c>
      <c r="G6" s="13" t="s">
        <v>160</v>
      </c>
      <c r="H6" s="13"/>
      <c r="I6" s="19" t="s">
        <v>128</v>
      </c>
      <c r="J6" s="12" t="s">
        <v>161</v>
      </c>
      <c r="K6" s="11" t="s">
        <v>162</v>
      </c>
      <c r="L6" s="25" t="s">
        <v>130</v>
      </c>
    </row>
    <row r="7" spans="1:12" ht="72.5" x14ac:dyDescent="0.35">
      <c r="A7" s="11" t="s">
        <v>163</v>
      </c>
      <c r="B7" s="11" t="s">
        <v>101</v>
      </c>
      <c r="C7" s="12" t="s">
        <v>164</v>
      </c>
      <c r="D7" s="12" t="s">
        <v>165</v>
      </c>
      <c r="E7" s="12" t="s">
        <v>166</v>
      </c>
      <c r="F7" s="12" t="s">
        <v>167</v>
      </c>
      <c r="G7" s="13" t="s">
        <v>168</v>
      </c>
      <c r="H7" s="13"/>
      <c r="I7" s="19" t="s">
        <v>128</v>
      </c>
      <c r="J7" s="12" t="s">
        <v>169</v>
      </c>
      <c r="K7" s="11" t="s">
        <v>102</v>
      </c>
      <c r="L7" s="25" t="s">
        <v>130</v>
      </c>
    </row>
    <row r="8" spans="1:12" ht="87" x14ac:dyDescent="0.35">
      <c r="A8" s="11" t="s">
        <v>23</v>
      </c>
      <c r="B8" s="11" t="s">
        <v>92</v>
      </c>
      <c r="C8" s="12" t="s">
        <v>170</v>
      </c>
      <c r="D8" s="12" t="s">
        <v>171</v>
      </c>
      <c r="E8" s="12" t="s">
        <v>172</v>
      </c>
      <c r="F8" s="12" t="s">
        <v>173</v>
      </c>
      <c r="G8" s="13" t="s">
        <v>174</v>
      </c>
      <c r="H8" s="13"/>
      <c r="I8" s="19" t="s">
        <v>128</v>
      </c>
      <c r="J8" s="12" t="s">
        <v>175</v>
      </c>
      <c r="K8" s="11" t="s">
        <v>176</v>
      </c>
      <c r="L8" s="25" t="s">
        <v>130</v>
      </c>
    </row>
    <row r="9" spans="1:12" ht="72.5" x14ac:dyDescent="0.35">
      <c r="A9" s="11" t="s">
        <v>177</v>
      </c>
      <c r="B9" s="11" t="s">
        <v>92</v>
      </c>
      <c r="C9" s="12" t="s">
        <v>178</v>
      </c>
      <c r="D9" s="12" t="s">
        <v>179</v>
      </c>
      <c r="E9" s="12" t="s">
        <v>180</v>
      </c>
      <c r="F9" s="12" t="s">
        <v>181</v>
      </c>
      <c r="G9" s="13" t="s">
        <v>182</v>
      </c>
      <c r="H9" s="13"/>
      <c r="I9" s="19" t="s">
        <v>128</v>
      </c>
      <c r="J9" s="12" t="s">
        <v>183</v>
      </c>
      <c r="K9" s="11" t="s">
        <v>184</v>
      </c>
      <c r="L9" s="25" t="s">
        <v>130</v>
      </c>
    </row>
    <row r="10" spans="1:12" ht="58" x14ac:dyDescent="0.35">
      <c r="A10" s="11" t="s">
        <v>185</v>
      </c>
      <c r="B10" s="11" t="s">
        <v>106</v>
      </c>
      <c r="C10" s="12" t="s">
        <v>186</v>
      </c>
      <c r="D10" s="12" t="s">
        <v>187</v>
      </c>
      <c r="E10" s="12" t="s">
        <v>188</v>
      </c>
      <c r="F10" s="12" t="s">
        <v>189</v>
      </c>
      <c r="G10" s="13" t="s">
        <v>190</v>
      </c>
      <c r="H10" s="13"/>
      <c r="I10" s="19" t="s">
        <v>128</v>
      </c>
      <c r="J10" s="12" t="s">
        <v>191</v>
      </c>
      <c r="K10" s="11" t="s">
        <v>192</v>
      </c>
      <c r="L10" s="25" t="s">
        <v>130</v>
      </c>
    </row>
    <row r="11" spans="1:12" ht="72.5" x14ac:dyDescent="0.35">
      <c r="A11" s="11" t="s">
        <v>193</v>
      </c>
      <c r="B11" s="11" t="s">
        <v>111</v>
      </c>
      <c r="C11" s="12" t="s">
        <v>194</v>
      </c>
      <c r="D11" s="12" t="s">
        <v>195</v>
      </c>
      <c r="E11" s="12" t="s">
        <v>196</v>
      </c>
      <c r="F11" s="12" t="s">
        <v>197</v>
      </c>
      <c r="G11" s="13" t="s">
        <v>198</v>
      </c>
      <c r="H11" s="13"/>
      <c r="I11" s="19" t="s">
        <v>128</v>
      </c>
      <c r="J11" s="12" t="s">
        <v>199</v>
      </c>
      <c r="K11" s="11" t="s">
        <v>112</v>
      </c>
      <c r="L11" s="25" t="s">
        <v>200</v>
      </c>
    </row>
    <row r="12" spans="1:12" ht="72.5" x14ac:dyDescent="0.35">
      <c r="A12" s="11" t="s">
        <v>201</v>
      </c>
      <c r="B12" s="11" t="s">
        <v>97</v>
      </c>
      <c r="C12" s="12" t="s">
        <v>202</v>
      </c>
      <c r="D12" s="12" t="s">
        <v>203</v>
      </c>
      <c r="E12" s="12" t="s">
        <v>204</v>
      </c>
      <c r="F12" s="12" t="s">
        <v>159</v>
      </c>
      <c r="G12" s="13" t="s">
        <v>205</v>
      </c>
      <c r="H12" s="13"/>
      <c r="I12" s="19" t="s">
        <v>128</v>
      </c>
      <c r="J12" s="12" t="s">
        <v>206</v>
      </c>
      <c r="K12" s="11" t="s">
        <v>207</v>
      </c>
      <c r="L12" s="25" t="s">
        <v>130</v>
      </c>
    </row>
    <row r="13" spans="1:12" ht="87" x14ac:dyDescent="0.35">
      <c r="A13" s="11" t="s">
        <v>208</v>
      </c>
      <c r="B13" s="11" t="s">
        <v>116</v>
      </c>
      <c r="C13" s="12" t="s">
        <v>209</v>
      </c>
      <c r="D13" s="12" t="s">
        <v>210</v>
      </c>
      <c r="E13" s="12" t="s">
        <v>211</v>
      </c>
      <c r="F13" s="12" t="s">
        <v>212</v>
      </c>
      <c r="G13" s="13" t="s">
        <v>213</v>
      </c>
      <c r="H13" s="13"/>
      <c r="I13" s="19" t="s">
        <v>128</v>
      </c>
      <c r="J13" s="12" t="s">
        <v>214</v>
      </c>
      <c r="K13" s="11" t="s">
        <v>117</v>
      </c>
      <c r="L13" s="25" t="s">
        <v>130</v>
      </c>
    </row>
    <row r="14" spans="1:12" ht="16.5" x14ac:dyDescent="0.35">
      <c r="A14" s="15"/>
      <c r="B14" s="15"/>
      <c r="C14" s="16"/>
      <c r="D14" s="16"/>
      <c r="E14" s="16"/>
      <c r="F14" s="16"/>
      <c r="G14" s="13"/>
      <c r="H14" s="13"/>
      <c r="I14" s="14"/>
      <c r="J14" s="12"/>
      <c r="K14" s="11"/>
    </row>
    <row r="15" spans="1:12" ht="16.5" x14ac:dyDescent="0.35">
      <c r="A15" s="15"/>
      <c r="B15" s="15"/>
      <c r="C15" s="16"/>
      <c r="D15" s="16"/>
      <c r="E15" s="16"/>
      <c r="F15" s="16"/>
      <c r="G15" s="13"/>
      <c r="H15" s="13"/>
      <c r="I15" s="19"/>
      <c r="J15" s="12"/>
      <c r="K15" s="11"/>
    </row>
    <row r="16" spans="1:12" ht="16.5" x14ac:dyDescent="0.35">
      <c r="A16" s="15"/>
      <c r="B16" s="15"/>
      <c r="C16" s="16"/>
      <c r="D16" s="16"/>
      <c r="E16" s="16"/>
      <c r="F16" s="16"/>
      <c r="G16" s="13"/>
      <c r="H16" s="18"/>
      <c r="I16" s="20"/>
      <c r="J16" s="12"/>
      <c r="K16" s="11"/>
    </row>
  </sheetData>
  <autoFilter ref="A1:K15" xr:uid="{00000000-0009-0000-0000-000002000000}"/>
  <conditionalFormatting sqref="I2:I15">
    <cfRule type="cellIs" dxfId="2" priority="2" operator="equal">
      <formula>"Passed"</formula>
    </cfRule>
    <cfRule type="cellIs" dxfId="1" priority="3" operator="equal">
      <formula>"Failed"</formula>
    </cfRule>
    <cfRule type="cellIs" dxfId="0" priority="4" operator="equal">
      <formula>"Blocked"</formula>
    </cfRule>
  </conditionalFormatting>
  <dataValidations count="1">
    <dataValidation type="list" allowBlank="1" sqref="I2:I15" xr:uid="{00000000-0002-0000-0200-000000000000}">
      <formula1>"Not Executed,Passed,Failed,Blocked"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2"/>
  <sheetViews>
    <sheetView topLeftCell="B1" zoomScaleNormal="100" workbookViewId="0">
      <pane ySplit="1" topLeftCell="A2" activePane="bottomLeft" state="frozen"/>
      <selection activeCell="B1" sqref="B1"/>
      <selection pane="bottomLeft" activeCell="D13" sqref="D13"/>
    </sheetView>
  </sheetViews>
  <sheetFormatPr defaultColWidth="8.7265625" defaultRowHeight="14.5" x14ac:dyDescent="0.35"/>
  <cols>
    <col min="1" max="1" width="8.90625" style="25" bestFit="1" customWidth="1"/>
    <col min="2" max="2" width="5.36328125" style="25" bestFit="1" customWidth="1"/>
    <col min="3" max="3" width="12.453125" style="25" bestFit="1" customWidth="1"/>
    <col min="4" max="4" width="14.7265625" style="25" bestFit="1" customWidth="1"/>
    <col min="5" max="5" width="13" style="25" bestFit="1" customWidth="1"/>
    <col min="6" max="6" width="6.08984375" style="25" bestFit="1" customWidth="1"/>
    <col min="7" max="16384" width="8.7265625" style="25"/>
  </cols>
  <sheetData>
    <row r="1" spans="1:6" x14ac:dyDescent="0.35">
      <c r="A1" s="23" t="s">
        <v>24</v>
      </c>
      <c r="B1" s="23" t="s">
        <v>25</v>
      </c>
      <c r="C1" s="23" t="s">
        <v>26</v>
      </c>
      <c r="D1" s="23" t="s">
        <v>27</v>
      </c>
      <c r="E1" s="23" t="s">
        <v>28</v>
      </c>
      <c r="F1" s="23" t="s">
        <v>29</v>
      </c>
    </row>
    <row r="2" spans="1:6" x14ac:dyDescent="0.35">
      <c r="A2" s="11"/>
      <c r="B2" s="11"/>
      <c r="C2" s="11"/>
      <c r="D2" s="17"/>
      <c r="E2" s="28"/>
      <c r="F2" s="11"/>
    </row>
    <row r="3" spans="1:6" x14ac:dyDescent="0.35">
      <c r="A3" s="11"/>
      <c r="B3" s="11"/>
      <c r="C3" s="11"/>
      <c r="D3" s="17"/>
      <c r="E3" s="29"/>
      <c r="F3" s="11"/>
    </row>
    <row r="12" spans="1:6" x14ac:dyDescent="0.35">
      <c r="C12" s="27"/>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8"/>
  <sheetViews>
    <sheetView zoomScaleNormal="100" workbookViewId="0">
      <pane ySplit="1" topLeftCell="A12" activePane="bottomLeft" state="frozen"/>
      <selection pane="bottomLeft" activeCell="A28" sqref="A28:E28"/>
    </sheetView>
  </sheetViews>
  <sheetFormatPr defaultColWidth="8.7265625" defaultRowHeight="14.5" x14ac:dyDescent="0.35"/>
  <cols>
    <col min="1" max="1" width="15.36328125" style="25" bestFit="1" customWidth="1"/>
    <col min="2" max="2" width="10.08984375" style="25" bestFit="1" customWidth="1"/>
    <col min="3" max="3" width="10.26953125" style="25" bestFit="1" customWidth="1"/>
    <col min="4" max="4" width="11.6328125" style="25" bestFit="1" customWidth="1"/>
    <col min="5" max="5" width="10.54296875" style="25" bestFit="1" customWidth="1"/>
    <col min="6" max="16384" width="8.7265625" style="25"/>
  </cols>
  <sheetData>
    <row r="1" spans="1:6" x14ac:dyDescent="0.35">
      <c r="A1" s="23" t="s">
        <v>30</v>
      </c>
      <c r="B1" s="23" t="s">
        <v>31</v>
      </c>
      <c r="C1" s="23" t="s">
        <v>32</v>
      </c>
      <c r="D1" s="23" t="s">
        <v>33</v>
      </c>
      <c r="E1" s="23" t="s">
        <v>34</v>
      </c>
    </row>
    <row r="2" spans="1:6" x14ac:dyDescent="0.35">
      <c r="A2" s="17" t="s">
        <v>215</v>
      </c>
      <c r="B2" s="17" t="s">
        <v>83</v>
      </c>
      <c r="C2" s="17" t="s">
        <v>122</v>
      </c>
      <c r="D2" s="21" t="s">
        <v>128</v>
      </c>
      <c r="E2" s="17"/>
    </row>
    <row r="3" spans="1:6" x14ac:dyDescent="0.35">
      <c r="A3" s="17" t="s">
        <v>216</v>
      </c>
      <c r="B3" s="17" t="s">
        <v>83</v>
      </c>
      <c r="C3" s="17" t="s">
        <v>122</v>
      </c>
      <c r="D3" s="21" t="s">
        <v>128</v>
      </c>
      <c r="E3" s="17"/>
    </row>
    <row r="4" spans="1:6" x14ac:dyDescent="0.35">
      <c r="A4" s="17" t="s">
        <v>217</v>
      </c>
      <c r="B4" s="17" t="s">
        <v>83</v>
      </c>
      <c r="C4" s="17" t="s">
        <v>122</v>
      </c>
      <c r="D4" s="21" t="s">
        <v>128</v>
      </c>
      <c r="E4" s="17"/>
    </row>
    <row r="5" spans="1:6" x14ac:dyDescent="0.35">
      <c r="A5" s="17" t="s">
        <v>218</v>
      </c>
      <c r="B5" s="17" t="s">
        <v>83</v>
      </c>
      <c r="C5" s="17" t="s">
        <v>122</v>
      </c>
      <c r="D5" s="21" t="s">
        <v>128</v>
      </c>
      <c r="E5" s="17"/>
    </row>
    <row r="6" spans="1:6" x14ac:dyDescent="0.35">
      <c r="A6" s="17" t="s">
        <v>219</v>
      </c>
      <c r="B6" s="17" t="s">
        <v>88</v>
      </c>
      <c r="C6" s="17" t="s">
        <v>131</v>
      </c>
      <c r="D6" s="21" t="s">
        <v>128</v>
      </c>
      <c r="E6" s="17"/>
      <c r="F6" s="27"/>
    </row>
    <row r="7" spans="1:6" x14ac:dyDescent="0.35">
      <c r="A7" s="17" t="s">
        <v>220</v>
      </c>
      <c r="B7" s="17" t="s">
        <v>88</v>
      </c>
      <c r="C7" s="17" t="s">
        <v>131</v>
      </c>
      <c r="D7" s="21" t="s">
        <v>128</v>
      </c>
      <c r="E7" s="17"/>
    </row>
    <row r="8" spans="1:6" x14ac:dyDescent="0.35">
      <c r="A8" s="17" t="s">
        <v>221</v>
      </c>
      <c r="B8" s="17" t="s">
        <v>88</v>
      </c>
      <c r="C8" s="17" t="s">
        <v>131</v>
      </c>
      <c r="D8" s="21" t="s">
        <v>128</v>
      </c>
      <c r="E8" s="17"/>
    </row>
    <row r="9" spans="1:6" x14ac:dyDescent="0.35">
      <c r="A9" s="17" t="s">
        <v>222</v>
      </c>
      <c r="B9" s="17" t="s">
        <v>88</v>
      </c>
      <c r="C9" s="17" t="s">
        <v>131</v>
      </c>
      <c r="D9" s="21" t="s">
        <v>128</v>
      </c>
      <c r="E9" s="17"/>
    </row>
    <row r="10" spans="1:6" x14ac:dyDescent="0.35">
      <c r="A10" s="17" t="s">
        <v>146</v>
      </c>
      <c r="B10" s="17" t="s">
        <v>88</v>
      </c>
      <c r="C10" s="17" t="s">
        <v>139</v>
      </c>
      <c r="D10" s="21" t="s">
        <v>128</v>
      </c>
      <c r="E10" s="17"/>
    </row>
    <row r="11" spans="1:6" x14ac:dyDescent="0.35">
      <c r="A11" s="17" t="s">
        <v>219</v>
      </c>
      <c r="B11" s="17" t="s">
        <v>88</v>
      </c>
      <c r="C11" s="17" t="s">
        <v>147</v>
      </c>
      <c r="D11" s="21" t="s">
        <v>128</v>
      </c>
      <c r="E11" s="17"/>
    </row>
    <row r="12" spans="1:6" x14ac:dyDescent="0.35">
      <c r="A12" s="17" t="s">
        <v>220</v>
      </c>
      <c r="B12" s="17" t="s">
        <v>88</v>
      </c>
      <c r="C12" s="17" t="s">
        <v>147</v>
      </c>
      <c r="D12" s="21" t="s">
        <v>128</v>
      </c>
      <c r="E12" s="17"/>
    </row>
    <row r="13" spans="1:6" x14ac:dyDescent="0.35">
      <c r="A13" s="17" t="s">
        <v>223</v>
      </c>
      <c r="B13" s="17" t="s">
        <v>97</v>
      </c>
      <c r="C13" s="17" t="s">
        <v>155</v>
      </c>
      <c r="D13" s="21" t="s">
        <v>128</v>
      </c>
      <c r="E13" s="17"/>
    </row>
    <row r="14" spans="1:6" x14ac:dyDescent="0.35">
      <c r="A14" s="17" t="s">
        <v>224</v>
      </c>
      <c r="B14" s="17" t="s">
        <v>97</v>
      </c>
      <c r="C14" s="17" t="s">
        <v>155</v>
      </c>
      <c r="D14" s="21" t="s">
        <v>128</v>
      </c>
      <c r="E14" s="17"/>
    </row>
    <row r="15" spans="1:6" x14ac:dyDescent="0.35">
      <c r="A15" s="17" t="s">
        <v>225</v>
      </c>
      <c r="B15" s="17" t="s">
        <v>97</v>
      </c>
      <c r="C15" s="17" t="s">
        <v>155</v>
      </c>
      <c r="D15" s="21" t="s">
        <v>128</v>
      </c>
      <c r="E15" s="17"/>
    </row>
    <row r="16" spans="1:6" x14ac:dyDescent="0.35">
      <c r="A16" s="17" t="s">
        <v>224</v>
      </c>
      <c r="B16" s="17" t="s">
        <v>101</v>
      </c>
      <c r="C16" s="17" t="s">
        <v>163</v>
      </c>
      <c r="D16" s="21" t="s">
        <v>128</v>
      </c>
      <c r="E16" s="17"/>
    </row>
    <row r="17" spans="1:5" x14ac:dyDescent="0.35">
      <c r="A17" s="17" t="s">
        <v>226</v>
      </c>
      <c r="B17" s="17" t="s">
        <v>101</v>
      </c>
      <c r="C17" s="17" t="s">
        <v>163</v>
      </c>
      <c r="D17" s="21" t="s">
        <v>128</v>
      </c>
      <c r="E17" s="17"/>
    </row>
    <row r="18" spans="1:5" x14ac:dyDescent="0.35">
      <c r="A18" s="17" t="s">
        <v>227</v>
      </c>
      <c r="B18" s="17" t="s">
        <v>92</v>
      </c>
      <c r="C18" s="17" t="s">
        <v>23</v>
      </c>
      <c r="D18" s="21" t="s">
        <v>128</v>
      </c>
      <c r="E18" s="17"/>
    </row>
    <row r="19" spans="1:5" x14ac:dyDescent="0.35">
      <c r="A19" s="17" t="s">
        <v>228</v>
      </c>
      <c r="B19" s="17" t="s">
        <v>92</v>
      </c>
      <c r="C19" s="17" t="s">
        <v>23</v>
      </c>
      <c r="D19" s="21" t="s">
        <v>128</v>
      </c>
      <c r="E19" s="17"/>
    </row>
    <row r="20" spans="1:5" x14ac:dyDescent="0.35">
      <c r="A20" s="17" t="s">
        <v>229</v>
      </c>
      <c r="B20" s="17" t="s">
        <v>92</v>
      </c>
      <c r="C20" s="17" t="s">
        <v>177</v>
      </c>
      <c r="D20" s="21" t="s">
        <v>128</v>
      </c>
      <c r="E20" s="17"/>
    </row>
    <row r="21" spans="1:5" x14ac:dyDescent="0.35">
      <c r="A21" s="17" t="s">
        <v>230</v>
      </c>
      <c r="B21" s="17" t="s">
        <v>92</v>
      </c>
      <c r="C21" s="17" t="s">
        <v>177</v>
      </c>
      <c r="D21" s="21" t="s">
        <v>128</v>
      </c>
      <c r="E21" s="17"/>
    </row>
    <row r="22" spans="1:5" x14ac:dyDescent="0.35">
      <c r="A22" s="17" t="s">
        <v>231</v>
      </c>
      <c r="B22" s="17" t="s">
        <v>92</v>
      </c>
      <c r="C22" s="17" t="s">
        <v>177</v>
      </c>
      <c r="D22" s="21" t="s">
        <v>128</v>
      </c>
      <c r="E22" s="17"/>
    </row>
    <row r="23" spans="1:5" x14ac:dyDescent="0.35">
      <c r="A23" s="17" t="s">
        <v>222</v>
      </c>
      <c r="B23" s="17" t="s">
        <v>106</v>
      </c>
      <c r="C23" s="17" t="s">
        <v>185</v>
      </c>
      <c r="D23" s="21" t="s">
        <v>128</v>
      </c>
      <c r="E23" s="17"/>
    </row>
    <row r="24" spans="1:5" x14ac:dyDescent="0.35">
      <c r="A24" s="17" t="s">
        <v>217</v>
      </c>
      <c r="B24" s="17" t="s">
        <v>106</v>
      </c>
      <c r="C24" s="17" t="s">
        <v>185</v>
      </c>
      <c r="D24" s="21" t="s">
        <v>128</v>
      </c>
      <c r="E24" s="17"/>
    </row>
    <row r="25" spans="1:5" x14ac:dyDescent="0.35">
      <c r="A25" s="17" t="s">
        <v>112</v>
      </c>
      <c r="B25" s="17" t="s">
        <v>111</v>
      </c>
      <c r="C25" s="17" t="s">
        <v>193</v>
      </c>
      <c r="D25" s="21" t="s">
        <v>128</v>
      </c>
      <c r="E25" s="17"/>
    </row>
    <row r="26" spans="1:5" x14ac:dyDescent="0.35">
      <c r="A26" s="17" t="s">
        <v>226</v>
      </c>
      <c r="B26" s="17" t="s">
        <v>97</v>
      </c>
      <c r="C26" s="17" t="s">
        <v>201</v>
      </c>
      <c r="D26" s="21" t="s">
        <v>128</v>
      </c>
      <c r="E26" s="17"/>
    </row>
    <row r="27" spans="1:5" x14ac:dyDescent="0.35">
      <c r="A27" s="17" t="s">
        <v>225</v>
      </c>
      <c r="B27" s="17" t="s">
        <v>97</v>
      </c>
      <c r="C27" s="17" t="s">
        <v>201</v>
      </c>
      <c r="D27" s="21" t="s">
        <v>128</v>
      </c>
      <c r="E27" s="17"/>
    </row>
    <row r="28" spans="1:5" x14ac:dyDescent="0.35">
      <c r="A28" s="17" t="s">
        <v>117</v>
      </c>
      <c r="B28" s="17" t="s">
        <v>116</v>
      </c>
      <c r="C28" s="17" t="s">
        <v>208</v>
      </c>
      <c r="D28" s="21" t="s">
        <v>128</v>
      </c>
      <c r="E28" s="17"/>
    </row>
  </sheetData>
  <autoFilter ref="A1:E15" xr:uid="{00000000-0009-0000-0000-000004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
  <sheetViews>
    <sheetView zoomScaleNormal="100" workbookViewId="0">
      <pane ySplit="2" topLeftCell="A3" activePane="bottomLeft" state="frozen"/>
      <selection pane="bottomLeft" activeCell="G10" sqref="G10"/>
    </sheetView>
  </sheetViews>
  <sheetFormatPr defaultColWidth="8.7265625" defaultRowHeight="14.5" x14ac:dyDescent="0.35"/>
  <cols>
    <col min="1" max="1" width="12.1796875" style="25" bestFit="1" customWidth="1"/>
    <col min="2" max="2" width="21.1796875" style="25" bestFit="1" customWidth="1"/>
    <col min="3" max="3" width="10.26953125" style="25" bestFit="1" customWidth="1"/>
    <col min="4" max="4" width="11.36328125" style="25" bestFit="1" customWidth="1"/>
    <col min="5" max="5" width="10.453125" style="25" bestFit="1" customWidth="1"/>
    <col min="6" max="6" width="12.08984375" style="25" bestFit="1" customWidth="1"/>
    <col min="7" max="7" width="13.26953125" style="25" bestFit="1" customWidth="1"/>
    <col min="8" max="8" width="7.6328125" style="25" bestFit="1" customWidth="1"/>
    <col min="9" max="9" width="14.453125" style="25" bestFit="1" customWidth="1"/>
    <col min="10" max="10" width="13.54296875" style="25" bestFit="1" customWidth="1"/>
    <col min="11" max="11" width="20.54296875" style="25" bestFit="1" customWidth="1"/>
    <col min="12" max="16384" width="8.7265625" style="25"/>
  </cols>
  <sheetData>
    <row r="1" spans="1:11" x14ac:dyDescent="0.35">
      <c r="A1" s="30" t="s">
        <v>35</v>
      </c>
      <c r="B1" s="31"/>
      <c r="C1" s="31"/>
      <c r="D1" s="31"/>
      <c r="E1" s="31"/>
      <c r="F1" s="31"/>
      <c r="G1" s="31"/>
      <c r="H1" s="31"/>
      <c r="I1" s="31"/>
      <c r="J1" s="31"/>
      <c r="K1" s="31"/>
    </row>
    <row r="2" spans="1:11" x14ac:dyDescent="0.35">
      <c r="A2" s="24" t="s">
        <v>36</v>
      </c>
      <c r="B2" s="24" t="s">
        <v>37</v>
      </c>
      <c r="C2" s="24" t="s">
        <v>38</v>
      </c>
      <c r="D2" s="24" t="s">
        <v>39</v>
      </c>
      <c r="E2" s="24" t="s">
        <v>40</v>
      </c>
      <c r="F2" s="24" t="s">
        <v>232</v>
      </c>
      <c r="G2" s="24" t="s">
        <v>41</v>
      </c>
      <c r="H2" s="24" t="s">
        <v>128</v>
      </c>
      <c r="I2" s="24" t="s">
        <v>42</v>
      </c>
      <c r="J2" s="24" t="s">
        <v>43</v>
      </c>
      <c r="K2" s="24" t="s">
        <v>44</v>
      </c>
    </row>
    <row r="3" spans="1:11" x14ac:dyDescent="0.35">
      <c r="A3" s="25" t="s">
        <v>48</v>
      </c>
      <c r="B3" s="25" t="s">
        <v>52</v>
      </c>
      <c r="C3" s="25">
        <f>COUNTA('Test cases'!A2:A1000)</f>
        <v>12</v>
      </c>
      <c r="D3" s="25">
        <f>COUNTIF('Test cases'!I2:I1000,"Passed")</f>
        <v>0</v>
      </c>
      <c r="E3" s="25">
        <f>COUNTIF('Test cases'!I2:I1000,"Failed")</f>
        <v>0</v>
      </c>
      <c r="F3" s="25">
        <f>COUNTIF('Test cases'!I2:I1000,"Blocked")</f>
        <v>0</v>
      </c>
      <c r="G3" s="25">
        <f>D3+E3+F3</f>
        <v>0</v>
      </c>
      <c r="H3" s="25">
        <f>COUNTIF('Test cases'!I2:I1000,"Not Run")</f>
        <v>12</v>
      </c>
      <c r="I3" s="32">
        <f>IF(G3=0,0,D3/G3)</f>
        <v>0</v>
      </c>
      <c r="J3" s="32">
        <f>IF(G3=0,0,E3/G3)</f>
        <v>0</v>
      </c>
      <c r="K3" s="32">
        <f>IF(C3=0,0,G3/C3)</f>
        <v>0</v>
      </c>
    </row>
  </sheetData>
  <mergeCells count="1">
    <mergeCell ref="A1:K1"/>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User story</vt:lpstr>
      <vt:lpstr>Test Scenarios</vt:lpstr>
      <vt:lpstr>Test cases</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Magicbricks Home Loan Day 1 Test Plan</dc:title>
  <dc:subject>5 Epics, 8 Scenarios, 15 Test Cases, RTM and Test Execution Summary</dc:subject>
  <dc:creator>openpyxl</dc:creator>
  <cp:keywords/>
  <dc:description>Final simplified manual testing workbook based on the provided sample format and custom-agent analysis.</dc:description>
  <cp:lastModifiedBy>Meena, Nikita</cp:lastModifiedBy>
  <cp:revision>0</cp:revision>
  <dcterms:created xsi:type="dcterms:W3CDTF">2026-09-10T11:09:18Z</dcterms:created>
  <dcterms:modified xsi:type="dcterms:W3CDTF">2026-09-17T07:06:37Z</dcterms:modified>
  <cp:category/>
  <cp:contentStatus/>
</cp:coreProperties>
</file>